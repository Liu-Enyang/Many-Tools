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2.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3.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defaultThemeVersion="124226"/>
  <mc:AlternateContent xmlns:mc="http://schemas.openxmlformats.org/markup-compatibility/2006">
    <mc:Choice Requires="x15">
      <x15ac:absPath xmlns:x15ac="http://schemas.microsoft.com/office/spreadsheetml/2010/11/ac" url="/Users/liuenyang/Documents/GitHub/Many Tools/jp_test_spec_generator/sample_input/"/>
    </mc:Choice>
  </mc:AlternateContent>
  <xr:revisionPtr revIDLastSave="0" documentId="8_{260FEF78-F120-E54F-A8D7-CDEF87F6041A}" xr6:coauthVersionLast="47" xr6:coauthVersionMax="47" xr10:uidLastSave="{00000000-0000-0000-0000-000000000000}"/>
  <bookViews>
    <workbookView xWindow="4420" yWindow="660" windowWidth="24980" windowHeight="17060" tabRatio="915" activeTab="1" xr2:uid="{EADE3EC2-ADC5-B045-80CF-A1C324418DE2}"/>
  </bookViews>
  <sheets>
    <sheet name="修正履歴" sheetId="34" r:id="rId1"/>
    <sheet name="設計書チェックシート" sheetId="57" r:id="rId2"/>
    <sheet name="実装チェックシート" sheetId="42" r:id="rId3"/>
    <sheet name="UT仕様書チェックシート" sheetId="58" r:id="rId4"/>
    <sheet name="UT仕様書チェックシート（稟議）" sheetId="49" r:id="rId5"/>
    <sheet name="UT仕様書チェックシート（顧情）" sheetId="50" r:id="rId6"/>
    <sheet name="UT仕様書チェックリスト(.Net3.5_UI対応)" sheetId="55" r:id="rId7"/>
    <sheet name="UT仕様書【参考】" sheetId="44" r:id="rId8"/>
    <sheet name="セル保護確認方法【参考】" sheetId="53" r:id="rId9"/>
    <sheet name="UT実施" sheetId="37" r:id="rId10"/>
    <sheet name="UT結果(エビデンス作成)チェックリスト" sheetId="47" r:id="rId11"/>
    <sheet name="UT結果(エビデンス作成)【参考】" sheetId="45" r:id="rId12"/>
    <sheet name="成果物作成チェックシート" sheetId="48" r:id="rId13"/>
    <sheet name="ITAチェックシート" sheetId="36" r:id="rId14"/>
    <sheet name="ITBチェックシート" sheetId="51" r:id="rId15"/>
    <sheet name="受入チェックシート" sheetId="52" r:id="rId16"/>
    <sheet name="調査チェックシート" sheetId="40" r:id="rId17"/>
    <sheet name="三島統合DB調査用" sheetId="41" r:id="rId18"/>
    <sheet name="クライアントバージョンアップチェックシート" sheetId="56" r:id="rId19"/>
    <sheet name="Sheet1" sheetId="46" r:id="rId20"/>
  </sheets>
  <definedNames>
    <definedName name="_xlnm._FilterDatabase" localSheetId="13" hidden="1">ITAチェックシート!$H$10:$H$12</definedName>
    <definedName name="_xlnm._FilterDatabase" localSheetId="14" hidden="1">ITBチェックシート!$H$10:$H$12</definedName>
    <definedName name="_xlnm._FilterDatabase" localSheetId="10" hidden="1">'UT結果(エビデンス作成)チェックリスト'!$H$11:$H$11</definedName>
    <definedName name="_xlnm._FilterDatabase" localSheetId="9" hidden="1">UT実施!$H$10:$H$12</definedName>
    <definedName name="_xlnm._FilterDatabase" localSheetId="3" hidden="1">UT仕様書チェックシート!$I$21:$I$24</definedName>
    <definedName name="_xlnm._FilterDatabase" localSheetId="4" hidden="1">'UT仕様書チェックシート（稟議）'!#REF!</definedName>
    <definedName name="_xlnm._FilterDatabase" localSheetId="5" hidden="1">'UT仕様書チェックシート（顧情）'!#REF!</definedName>
    <definedName name="_xlnm._FilterDatabase" localSheetId="12" hidden="1">成果物作成チェックシート!#REF!</definedName>
    <definedName name="_xlnm._FilterDatabase" localSheetId="16" hidden="1">調査チェックシート!#REF!</definedName>
    <definedName name="_xlnm._FilterDatabase" localSheetId="1" hidden="1">設計書チェックシート!$B$15:$K$89</definedName>
    <definedName name="_xlnm._FilterDatabase" localSheetId="2" hidden="1">実装チェックシート!#REF!</definedName>
    <definedName name="_xlnm._FilterDatabase" localSheetId="15" hidden="1">受入チェックシート!$H$11:$H$15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52" l="1"/>
  <c r="H101" i="58"/>
  <c r="H102" i="58"/>
  <c r="H100" i="58"/>
  <c r="H90" i="58"/>
  <c r="H91" i="58"/>
  <c r="H92" i="58"/>
  <c r="H93" i="58"/>
  <c r="H94" i="58"/>
  <c r="H89" i="58"/>
  <c r="H78" i="58"/>
  <c r="H79" i="58"/>
  <c r="H80" i="58"/>
  <c r="H81" i="58"/>
  <c r="H82" i="58"/>
  <c r="H83" i="58"/>
  <c r="H84" i="58"/>
  <c r="H85" i="58"/>
  <c r="H86" i="58"/>
  <c r="H87" i="58"/>
  <c r="H88" i="58"/>
  <c r="H77" i="58"/>
  <c r="H59" i="58"/>
  <c r="H60" i="58"/>
  <c r="H61" i="58"/>
  <c r="H62" i="58"/>
  <c r="H63" i="58"/>
  <c r="H64" i="58"/>
  <c r="H65" i="58"/>
  <c r="H66" i="58"/>
  <c r="H67" i="58"/>
  <c r="H68" i="58"/>
  <c r="H69" i="58"/>
  <c r="H70" i="58"/>
  <c r="H71" i="58"/>
  <c r="H72" i="58"/>
  <c r="H73" i="58"/>
  <c r="H74" i="58"/>
  <c r="H75" i="58"/>
  <c r="H76" i="58"/>
  <c r="H58" i="58"/>
  <c r="H28" i="58"/>
  <c r="H29" i="58"/>
  <c r="H30" i="58"/>
  <c r="H31" i="58"/>
  <c r="H32" i="58"/>
  <c r="H33" i="58"/>
  <c r="H34" i="58"/>
  <c r="H35" i="58"/>
  <c r="H36" i="58"/>
  <c r="H37" i="58"/>
  <c r="H38" i="58"/>
  <c r="H39" i="58"/>
  <c r="H40" i="58"/>
  <c r="H41" i="58"/>
  <c r="H42" i="58"/>
  <c r="H43" i="58"/>
  <c r="H44" i="58"/>
  <c r="H45" i="58"/>
  <c r="H46" i="58"/>
  <c r="H47" i="58"/>
  <c r="H48" i="58"/>
  <c r="H49" i="58"/>
  <c r="H50" i="58"/>
  <c r="H51" i="58"/>
  <c r="H52" i="58"/>
  <c r="H53" i="58"/>
  <c r="H54" i="58"/>
  <c r="H55" i="58"/>
  <c r="H56" i="58"/>
  <c r="H57" i="58"/>
  <c r="H27" i="58"/>
  <c r="H26" i="58"/>
  <c r="H68" i="42"/>
  <c r="H66" i="42"/>
  <c r="H65" i="42"/>
  <c r="H57" i="42"/>
  <c r="H58" i="42"/>
  <c r="H59" i="42"/>
  <c r="H60" i="42"/>
  <c r="H61" i="42"/>
  <c r="H62" i="42"/>
  <c r="H63" i="42"/>
  <c r="H31" i="42"/>
  <c r="H32" i="42"/>
  <c r="H33" i="42"/>
  <c r="H34" i="42"/>
  <c r="H35" i="42"/>
  <c r="H36" i="42"/>
  <c r="H37" i="42"/>
  <c r="H38" i="42"/>
  <c r="H39" i="42"/>
  <c r="H40" i="42"/>
  <c r="H41" i="42"/>
  <c r="H42" i="42"/>
  <c r="H43" i="42"/>
  <c r="H44" i="42"/>
  <c r="H45" i="42"/>
  <c r="H46" i="42"/>
  <c r="H47" i="42"/>
  <c r="H48" i="42"/>
  <c r="H49" i="42"/>
  <c r="H50" i="42"/>
  <c r="H51" i="42"/>
  <c r="H52" i="42"/>
  <c r="H53" i="42"/>
  <c r="H54" i="42"/>
  <c r="H55" i="42"/>
  <c r="H30" i="42"/>
  <c r="M19" i="42"/>
  <c r="H80" i="57"/>
  <c r="H79" i="57"/>
  <c r="H69" i="57"/>
  <c r="H70" i="57"/>
  <c r="H71" i="57"/>
  <c r="H72" i="57"/>
  <c r="H73" i="57"/>
  <c r="H68" i="57"/>
  <c r="H56" i="57"/>
  <c r="H57" i="57"/>
  <c r="H58" i="57"/>
  <c r="H59" i="57"/>
  <c r="H60" i="57"/>
  <c r="H61" i="57"/>
  <c r="H62" i="57"/>
  <c r="H63" i="57"/>
  <c r="H55" i="57"/>
  <c r="H38" i="57"/>
  <c r="H39" i="57"/>
  <c r="H40" i="57"/>
  <c r="H41" i="57"/>
  <c r="H42" i="57"/>
  <c r="H43" i="57"/>
  <c r="H44" i="57"/>
  <c r="H45" i="57"/>
  <c r="H46" i="57"/>
  <c r="H47" i="57"/>
  <c r="H48" i="57"/>
  <c r="H49" i="57"/>
  <c r="H50" i="57"/>
  <c r="H51" i="57"/>
  <c r="H52" i="57"/>
  <c r="H53" i="57"/>
  <c r="H54" i="57"/>
  <c r="H37" i="57"/>
  <c r="H36" i="57"/>
  <c r="H21" i="57"/>
  <c r="H22" i="57"/>
  <c r="H23" i="57"/>
  <c r="H24" i="57"/>
  <c r="H25" i="57"/>
  <c r="H26" i="57"/>
  <c r="H27" i="57"/>
  <c r="H28" i="57"/>
  <c r="H29" i="57"/>
  <c r="H30" i="57"/>
  <c r="H31" i="57"/>
  <c r="H32" i="57"/>
  <c r="H33" i="57"/>
  <c r="H34" i="57"/>
  <c r="H35" i="57"/>
  <c r="H20" i="57"/>
  <c r="B17" i="56"/>
  <c r="B18" i="56"/>
  <c r="B19" i="56"/>
  <c r="B20" i="56"/>
  <c r="B21" i="56"/>
  <c r="B22" i="56"/>
  <c r="B23" i="56"/>
  <c r="B24" i="56"/>
  <c r="B25" i="56"/>
  <c r="B26" i="56"/>
  <c r="B27" i="56"/>
  <c r="B28" i="56"/>
  <c r="B29" i="56"/>
  <c r="B30" i="56"/>
  <c r="B31" i="56"/>
  <c r="B32" i="56"/>
  <c r="B33" i="56"/>
  <c r="B34" i="56"/>
  <c r="B35" i="56"/>
  <c r="B36" i="56"/>
  <c r="B37" i="56"/>
  <c r="B38" i="56"/>
  <c r="B39" i="56"/>
  <c r="B40" i="56"/>
  <c r="B41" i="56"/>
  <c r="B42" i="56"/>
  <c r="B43" i="56"/>
  <c r="B44" i="56"/>
  <c r="B45" i="56"/>
  <c r="B46" i="56"/>
  <c r="B47" i="56"/>
  <c r="B48" i="56"/>
  <c r="B49" i="56"/>
  <c r="B12" i="56"/>
  <c r="B13" i="56"/>
  <c r="B14" i="56"/>
  <c r="I25" i="55"/>
  <c r="A13" i="55"/>
  <c r="A14" i="55"/>
  <c r="A15" i="55"/>
  <c r="A16" i="55"/>
  <c r="A17" i="55"/>
  <c r="A18" i="55"/>
  <c r="A19" i="55"/>
  <c r="A20" i="55"/>
  <c r="A21" i="55"/>
  <c r="A22" i="55"/>
  <c r="A23" i="55"/>
  <c r="A24" i="55"/>
  <c r="A25" i="55"/>
  <c r="A26" i="55"/>
  <c r="A27" i="55"/>
  <c r="A28" i="55"/>
  <c r="A29" i="55"/>
  <c r="A30" i="55"/>
  <c r="A31" i="55"/>
  <c r="A32" i="55"/>
  <c r="A33" i="55"/>
  <c r="A34" i="55"/>
  <c r="A35" i="55"/>
  <c r="A36" i="55"/>
  <c r="A37" i="55"/>
  <c r="A38" i="55"/>
  <c r="A39" i="55"/>
  <c r="A40" i="55"/>
  <c r="A41" i="55"/>
  <c r="A42" i="55"/>
  <c r="A43" i="55"/>
  <c r="A44" i="55"/>
  <c r="A45" i="55"/>
  <c r="A46" i="55"/>
  <c r="A47" i="55"/>
  <c r="A48" i="55"/>
  <c r="A49" i="55"/>
  <c r="A50" i="55"/>
  <c r="A51" i="55"/>
  <c r="A52" i="55"/>
  <c r="A53" i="55"/>
  <c r="A54" i="55"/>
  <c r="A55" i="55"/>
  <c r="A56" i="55"/>
  <c r="A57" i="55"/>
  <c r="A58" i="55"/>
  <c r="A59" i="55"/>
  <c r="A60" i="55"/>
  <c r="A61" i="55"/>
  <c r="A62" i="55"/>
  <c r="A63" i="55"/>
  <c r="A64" i="55"/>
  <c r="A65" i="55"/>
  <c r="A66" i="55"/>
  <c r="A67" i="55"/>
  <c r="A68" i="55"/>
  <c r="A69" i="55"/>
  <c r="A70" i="55"/>
  <c r="A71" i="55"/>
  <c r="A72" i="55"/>
  <c r="A73" i="55"/>
  <c r="A74" i="55"/>
  <c r="A75" i="55"/>
  <c r="A76" i="55"/>
  <c r="A77" i="55"/>
  <c r="A78" i="55"/>
  <c r="A79" i="55"/>
  <c r="A80" i="55"/>
  <c r="A81" i="55"/>
  <c r="A82" i="55"/>
  <c r="A83" i="55"/>
  <c r="A84" i="55"/>
  <c r="A85" i="55"/>
  <c r="A86" i="55"/>
  <c r="A87" i="55"/>
  <c r="A88" i="55"/>
  <c r="A89" i="55"/>
  <c r="A90" i="55"/>
  <c r="A91" i="55"/>
  <c r="A92" i="55"/>
  <c r="A93" i="55"/>
  <c r="A94" i="55"/>
  <c r="A95" i="55"/>
  <c r="A96" i="55"/>
  <c r="A97" i="55"/>
  <c r="A98" i="55"/>
  <c r="A99" i="55"/>
  <c r="A100" i="55"/>
  <c r="A101" i="55"/>
  <c r="A102" i="55"/>
  <c r="A103" i="55"/>
  <c r="A104" i="55"/>
  <c r="A105" i="55"/>
  <c r="A106" i="55"/>
  <c r="A107" i="55"/>
  <c r="A108" i="55"/>
  <c r="A109" i="55"/>
  <c r="A110" i="55"/>
  <c r="A111" i="55"/>
  <c r="A112" i="55"/>
  <c r="A113" i="55"/>
  <c r="A114" i="55"/>
  <c r="A115" i="55"/>
  <c r="A116" i="55"/>
  <c r="A117" i="55"/>
  <c r="A118" i="55"/>
  <c r="A119" i="55"/>
  <c r="A120" i="55"/>
  <c r="A121" i="55"/>
  <c r="A122" i="55"/>
  <c r="A123" i="55"/>
  <c r="A124" i="55"/>
  <c r="A125" i="55"/>
  <c r="A126" i="55"/>
  <c r="A127" i="55"/>
  <c r="A128" i="55"/>
  <c r="A129" i="55"/>
  <c r="A130" i="55"/>
  <c r="A131" i="55"/>
  <c r="A132" i="55"/>
  <c r="A133" i="55"/>
  <c r="A134" i="55"/>
  <c r="A135" i="55"/>
  <c r="A136" i="55"/>
  <c r="A137" i="55"/>
  <c r="A138" i="55"/>
  <c r="A139" i="55"/>
  <c r="A140" i="55"/>
  <c r="A141" i="55"/>
  <c r="A142" i="55"/>
  <c r="A143" i="55"/>
  <c r="A144" i="55"/>
  <c r="A145" i="55"/>
  <c r="A146" i="55"/>
  <c r="A147" i="55"/>
  <c r="A148" i="55"/>
  <c r="A149" i="55"/>
  <c r="A150" i="55"/>
  <c r="A151" i="55"/>
  <c r="A152" i="55"/>
  <c r="A153" i="55"/>
  <c r="A154" i="55"/>
  <c r="A155" i="55"/>
  <c r="A156" i="55"/>
  <c r="A157" i="55"/>
  <c r="A158" i="55"/>
  <c r="A159" i="55"/>
  <c r="A160" i="55"/>
  <c r="A161" i="55"/>
  <c r="A162" i="55"/>
  <c r="A163" i="55"/>
  <c r="A164" i="55"/>
  <c r="A165" i="55"/>
  <c r="A166" i="55"/>
  <c r="A167" i="55"/>
  <c r="A168" i="55"/>
  <c r="A169" i="55"/>
  <c r="A170" i="55"/>
  <c r="A171" i="55"/>
  <c r="A172" i="55"/>
  <c r="A173" i="55"/>
  <c r="A174" i="55"/>
  <c r="A175" i="55"/>
  <c r="A176" i="55"/>
  <c r="A177" i="55"/>
  <c r="A178" i="55"/>
  <c r="A179" i="55"/>
  <c r="A180" i="55"/>
  <c r="A181" i="55"/>
  <c r="A182" i="55"/>
  <c r="A183" i="55"/>
  <c r="A184" i="55"/>
  <c r="A185" i="55"/>
  <c r="A186" i="55"/>
  <c r="A187" i="55"/>
  <c r="A188" i="55"/>
  <c r="A189" i="55"/>
  <c r="A190" i="55"/>
  <c r="A191" i="55"/>
  <c r="A192" i="55"/>
  <c r="A193" i="55"/>
  <c r="A194" i="55"/>
  <c r="A195" i="55"/>
  <c r="A196" i="55"/>
  <c r="A197" i="55"/>
  <c r="A198" i="55"/>
  <c r="A199" i="55"/>
  <c r="A200" i="55"/>
  <c r="A201" i="55"/>
  <c r="A202" i="55"/>
  <c r="A203" i="55"/>
  <c r="A204" i="55"/>
  <c r="A205" i="55"/>
  <c r="A206" i="55"/>
  <c r="A207" i="55"/>
  <c r="A208" i="55"/>
  <c r="A209" i="55"/>
  <c r="A210" i="55"/>
  <c r="A211" i="55"/>
  <c r="A212" i="55"/>
  <c r="A213" i="55"/>
  <c r="A214" i="55"/>
  <c r="A215" i="55"/>
  <c r="A216" i="55"/>
  <c r="A217" i="55"/>
  <c r="A218" i="55"/>
  <c r="A219" i="55"/>
  <c r="A220" i="55"/>
  <c r="A221" i="55"/>
  <c r="A222" i="55"/>
  <c r="A223" i="55"/>
  <c r="A224" i="55"/>
  <c r="A225" i="55"/>
  <c r="A226" i="55"/>
  <c r="A227" i="55"/>
  <c r="A228" i="55"/>
  <c r="A229" i="55"/>
  <c r="A230" i="55"/>
  <c r="A231" i="55"/>
  <c r="A232" i="55"/>
  <c r="A233" i="55"/>
  <c r="A234" i="55"/>
  <c r="A235" i="55"/>
  <c r="A236" i="55"/>
</calcChain>
</file>

<file path=xl/sharedStrings.xml><?xml version="1.0" encoding="utf-8"?>
<sst xmlns="http://schemas.openxmlformats.org/spreadsheetml/2006/main" count="3255" uniqueCount="1607">
  <si>
    <t>ver</t>
    <phoneticPr fontId="2"/>
  </si>
  <si>
    <t>変更日</t>
  </si>
  <si>
    <t>ステータス</t>
    <phoneticPr fontId="2"/>
  </si>
  <si>
    <t>修正者</t>
    <rPh sb="0" eb="2">
      <t>シュウセイ</t>
    </rPh>
    <rPh sb="2" eb="3">
      <t>シャ</t>
    </rPh>
    <phoneticPr fontId="2"/>
  </si>
  <si>
    <t>コメント</t>
    <phoneticPr fontId="2"/>
  </si>
  <si>
    <t>シート名</t>
    <rPh sb="3" eb="4">
      <t>メイ</t>
    </rPh>
    <phoneticPr fontId="2"/>
  </si>
  <si>
    <t>チェックポイント</t>
    <phoneticPr fontId="2"/>
  </si>
  <si>
    <t>追加</t>
    <rPh sb="0" eb="2">
      <t>ツイカ</t>
    </rPh>
    <phoneticPr fontId="6"/>
  </si>
  <si>
    <t>SS 伊藤</t>
    <rPh sb="3" eb="5">
      <t>イトウ</t>
    </rPh>
    <phoneticPr fontId="6"/>
  </si>
  <si>
    <t>新規作成</t>
    <rPh sb="0" eb="2">
      <t>シンキ</t>
    </rPh>
    <rPh sb="2" eb="4">
      <t>サクセイ</t>
    </rPh>
    <phoneticPr fontId="6"/>
  </si>
  <si>
    <t>堀坂</t>
    <rPh sb="0" eb="2">
      <t>ホリサカ</t>
    </rPh>
    <phoneticPr fontId="6"/>
  </si>
  <si>
    <t>UT仕様書チェックシート</t>
    <phoneticPr fontId="6"/>
  </si>
  <si>
    <t>2-76</t>
    <phoneticPr fontId="6"/>
  </si>
  <si>
    <t>障害修正等対応時の追加ロジックについてエラーケースを想定しているか確認する。</t>
    <phoneticPr fontId="6"/>
  </si>
  <si>
    <t>永嶋</t>
    <rPh sb="0" eb="2">
      <t>ナガシマ</t>
    </rPh>
    <phoneticPr fontId="6"/>
  </si>
  <si>
    <t>設計書チェックシート</t>
    <phoneticPr fontId="6"/>
  </si>
  <si>
    <t>2-18</t>
    <phoneticPr fontId="6"/>
  </si>
  <si>
    <t>金額をメッセージ表示時する際のカンマ編集要否について</t>
    <rPh sb="0" eb="2">
      <t>キンガク</t>
    </rPh>
    <rPh sb="8" eb="10">
      <t>ヒョウジ</t>
    </rPh>
    <rPh sb="10" eb="11">
      <t>トキ</t>
    </rPh>
    <rPh sb="13" eb="14">
      <t>サイ</t>
    </rPh>
    <rPh sb="18" eb="20">
      <t>ヘンシュウ</t>
    </rPh>
    <rPh sb="20" eb="22">
      <t>ヨウヒ</t>
    </rPh>
    <phoneticPr fontId="6"/>
  </si>
  <si>
    <t>2-52</t>
    <phoneticPr fontId="6"/>
  </si>
  <si>
    <t>償却に関して、基準期・基準年月結合への留意。　（RT-RT-32027）</t>
    <rPh sb="0" eb="2">
      <t>ショウキャク</t>
    </rPh>
    <rPh sb="3" eb="4">
      <t>カン</t>
    </rPh>
    <rPh sb="7" eb="10">
      <t>キジュンキ</t>
    </rPh>
    <rPh sb="11" eb="15">
      <t>キジュンネンゲツ</t>
    </rPh>
    <rPh sb="15" eb="17">
      <t>ケツゴウ</t>
    </rPh>
    <rPh sb="19" eb="21">
      <t>リュウイ</t>
    </rPh>
    <phoneticPr fontId="6"/>
  </si>
  <si>
    <t>黒岩</t>
    <rPh sb="0" eb="2">
      <t>クロイワ</t>
    </rPh>
    <phoneticPr fontId="6"/>
  </si>
  <si>
    <t>2-53</t>
    <phoneticPr fontId="6"/>
  </si>
  <si>
    <t>格付(査定)WFについて、処理IDに関する確認を追加(RT-RT-34477)</t>
    <rPh sb="0" eb="1">
      <t>カク</t>
    </rPh>
    <rPh sb="1" eb="2">
      <t>ヅケ</t>
    </rPh>
    <rPh sb="3" eb="5">
      <t>サテイ</t>
    </rPh>
    <rPh sb="13" eb="15">
      <t>ショリ</t>
    </rPh>
    <rPh sb="18" eb="19">
      <t>カン</t>
    </rPh>
    <rPh sb="21" eb="23">
      <t>カクニン</t>
    </rPh>
    <rPh sb="24" eb="26">
      <t>ツイカ</t>
    </rPh>
    <phoneticPr fontId="6"/>
  </si>
  <si>
    <t>三好</t>
    <rPh sb="0" eb="2">
      <t>ミヨシ</t>
    </rPh>
    <phoneticPr fontId="6"/>
  </si>
  <si>
    <t>2-24</t>
  </si>
  <si>
    <t>帳票構成に関して、Rシートルールをチェックすること</t>
    <rPh sb="5" eb="6">
      <t>カン</t>
    </rPh>
    <phoneticPr fontId="6"/>
  </si>
  <si>
    <t>加藤</t>
    <rPh sb="0" eb="2">
      <t>カトウ</t>
    </rPh>
    <phoneticPr fontId="6"/>
  </si>
  <si>
    <t>調査チェックシート
三島統合DB調査用</t>
    <phoneticPr fontId="6"/>
  </si>
  <si>
    <t>新規シート追加（RT-RT-33527）</t>
    <rPh sb="0" eb="2">
      <t>シンキ</t>
    </rPh>
    <rPh sb="5" eb="7">
      <t>ツイカ</t>
    </rPh>
    <phoneticPr fontId="6"/>
  </si>
  <si>
    <t>宮原</t>
    <rPh sb="0" eb="2">
      <t>ミヤハラ</t>
    </rPh>
    <phoneticPr fontId="6"/>
  </si>
  <si>
    <t>ITBチェックシート</t>
    <phoneticPr fontId="6"/>
  </si>
  <si>
    <t>2-9,2-10</t>
    <phoneticPr fontId="6"/>
  </si>
  <si>
    <t>カテゴリに「業務別(格付・自己査定)」「業務別(電子稟議)」を追加
格付ランクに関わる確認ポイント追加。(RT-RT-35157)</t>
    <rPh sb="6" eb="8">
      <t>ギョウム</t>
    </rPh>
    <rPh sb="8" eb="9">
      <t>ベツ</t>
    </rPh>
    <rPh sb="10" eb="11">
      <t>カク</t>
    </rPh>
    <rPh sb="11" eb="12">
      <t>ヅケ</t>
    </rPh>
    <rPh sb="13" eb="15">
      <t>ジコ</t>
    </rPh>
    <rPh sb="15" eb="17">
      <t>サテイ</t>
    </rPh>
    <rPh sb="31" eb="33">
      <t>ツイカ</t>
    </rPh>
    <phoneticPr fontId="6"/>
  </si>
  <si>
    <t>受入チェックシート</t>
    <phoneticPr fontId="6"/>
  </si>
  <si>
    <t>1-8,1-9</t>
    <phoneticPr fontId="6"/>
  </si>
  <si>
    <t>同上</t>
    <rPh sb="0" eb="2">
      <t>ドウジョウ</t>
    </rPh>
    <phoneticPr fontId="6"/>
  </si>
  <si>
    <t>追加</t>
  </si>
  <si>
    <t>志村</t>
    <rPh sb="0" eb="2">
      <t>シムラ</t>
    </rPh>
    <phoneticPr fontId="6"/>
  </si>
  <si>
    <t>設計書チェックシート</t>
  </si>
  <si>
    <t>2-47</t>
    <phoneticPr fontId="6"/>
  </si>
  <si>
    <t>バッチ制御用ステータスファイル(RT-RT-35260)</t>
    <phoneticPr fontId="6"/>
  </si>
  <si>
    <t>川上</t>
    <rPh sb="0" eb="2">
      <t>カワカミ</t>
    </rPh>
    <phoneticPr fontId="6"/>
  </si>
  <si>
    <t>2-58、59</t>
    <phoneticPr fontId="6"/>
  </si>
  <si>
    <t>リモート限定ユーザに関するテーブル設計時の作業を追加</t>
    <rPh sb="4" eb="6">
      <t>ゲンテイ</t>
    </rPh>
    <rPh sb="10" eb="11">
      <t>カン</t>
    </rPh>
    <rPh sb="17" eb="19">
      <t>セッケイ</t>
    </rPh>
    <rPh sb="19" eb="20">
      <t>ジ</t>
    </rPh>
    <rPh sb="21" eb="23">
      <t>サギョウ</t>
    </rPh>
    <rPh sb="24" eb="26">
      <t>ツイカ</t>
    </rPh>
    <phoneticPr fontId="6"/>
  </si>
  <si>
    <t>関</t>
    <rPh sb="0" eb="1">
      <t>セキ</t>
    </rPh>
    <phoneticPr fontId="6"/>
  </si>
  <si>
    <t>設計書チェックシート</t>
    <rPh sb="0" eb="2">
      <t>セッケイ</t>
    </rPh>
    <rPh sb="2" eb="3">
      <t>ショ</t>
    </rPh>
    <phoneticPr fontId="6"/>
  </si>
  <si>
    <t>2-45</t>
    <phoneticPr fontId="6"/>
  </si>
  <si>
    <t>論理チェック 不正な日付を取り込まないようにする</t>
    <rPh sb="7" eb="9">
      <t>フセイ</t>
    </rPh>
    <rPh sb="10" eb="12">
      <t>ヒヅケ</t>
    </rPh>
    <rPh sb="13" eb="14">
      <t>ト</t>
    </rPh>
    <rPh sb="15" eb="16">
      <t>コ</t>
    </rPh>
    <phoneticPr fontId="6"/>
  </si>
  <si>
    <t>UT仕様書チェックシート</t>
    <rPh sb="2" eb="5">
      <t>シヨウショ</t>
    </rPh>
    <phoneticPr fontId="6"/>
  </si>
  <si>
    <t>2-59</t>
    <phoneticPr fontId="6"/>
  </si>
  <si>
    <t>UT結果＆ソースチェックシート</t>
    <phoneticPr fontId="6"/>
  </si>
  <si>
    <t>3-18</t>
    <phoneticPr fontId="6"/>
  </si>
  <si>
    <t>ソースチェックの際に設計書やカスタマイズ概要書にも反映されていることを確認する項目を追加(RT-RT-35310)</t>
    <rPh sb="8" eb="9">
      <t>サイ</t>
    </rPh>
    <rPh sb="10" eb="13">
      <t>セッケイショ</t>
    </rPh>
    <rPh sb="20" eb="23">
      <t>ガイヨウショ</t>
    </rPh>
    <rPh sb="25" eb="27">
      <t>ハンエイ</t>
    </rPh>
    <rPh sb="35" eb="37">
      <t>カクニン</t>
    </rPh>
    <rPh sb="39" eb="41">
      <t>コウモク</t>
    </rPh>
    <rPh sb="42" eb="44">
      <t>ツイカ</t>
    </rPh>
    <phoneticPr fontId="6"/>
  </si>
  <si>
    <t>2-49</t>
    <phoneticPr fontId="6"/>
  </si>
  <si>
    <t>ファイルコピー処理設計時の注意を追加（RT-RT-35705）</t>
    <rPh sb="7" eb="9">
      <t>ショリ</t>
    </rPh>
    <rPh sb="9" eb="12">
      <t>セッケイジ</t>
    </rPh>
    <rPh sb="13" eb="15">
      <t>チュウイ</t>
    </rPh>
    <rPh sb="16" eb="18">
      <t>ツイカ</t>
    </rPh>
    <phoneticPr fontId="6"/>
  </si>
  <si>
    <t>2-68</t>
    <phoneticPr fontId="6"/>
  </si>
  <si>
    <t>ファイルコピー処理確認時の注意を追加（RT-RT-35705）</t>
    <rPh sb="7" eb="9">
      <t>ショリ</t>
    </rPh>
    <rPh sb="9" eb="11">
      <t>カクニン</t>
    </rPh>
    <rPh sb="11" eb="12">
      <t>ジ</t>
    </rPh>
    <rPh sb="13" eb="15">
      <t>チュウイ</t>
    </rPh>
    <rPh sb="16" eb="18">
      <t>ツイカ</t>
    </rPh>
    <phoneticPr fontId="6"/>
  </si>
  <si>
    <t>2-57</t>
    <phoneticPr fontId="6"/>
  </si>
  <si>
    <t>テーブル変数利用時の注意を追加（RT-RT-35567）</t>
    <rPh sb="4" eb="6">
      <t>ヘンスウ</t>
    </rPh>
    <rPh sb="6" eb="9">
      <t>リヨウジ</t>
    </rPh>
    <rPh sb="10" eb="12">
      <t>チュウイ</t>
    </rPh>
    <rPh sb="13" eb="15">
      <t>ツイカ</t>
    </rPh>
    <phoneticPr fontId="6"/>
  </si>
  <si>
    <t>2-80</t>
    <phoneticPr fontId="6"/>
  </si>
  <si>
    <t>河原畑</t>
    <rPh sb="0" eb="2">
      <t>カワラ</t>
    </rPh>
    <rPh sb="2" eb="3">
      <t>ハタ</t>
    </rPh>
    <phoneticPr fontId="6"/>
  </si>
  <si>
    <t>2-86</t>
    <phoneticPr fontId="6"/>
  </si>
  <si>
    <t>BatchContorlAgentのテスト実行時の注意を追加（RT-RT-32500）</t>
    <rPh sb="21" eb="23">
      <t>ジッコウ</t>
    </rPh>
    <rPh sb="23" eb="24">
      <t>ジ</t>
    </rPh>
    <rPh sb="25" eb="27">
      <t>チュウイ</t>
    </rPh>
    <rPh sb="28" eb="30">
      <t>ツイカ</t>
    </rPh>
    <phoneticPr fontId="6"/>
  </si>
  <si>
    <t>2-82</t>
    <phoneticPr fontId="6"/>
  </si>
  <si>
    <t>RSHEETセルフォーカスの確認を追加(RT-RT-35850)</t>
    <rPh sb="14" eb="16">
      <t>カクニン</t>
    </rPh>
    <rPh sb="17" eb="19">
      <t>ツイカ</t>
    </rPh>
    <phoneticPr fontId="6"/>
  </si>
  <si>
    <t>変更</t>
  </si>
  <si>
    <t>2-41追加
2-82削除</t>
    <rPh sb="4" eb="6">
      <t>ツイカ</t>
    </rPh>
    <rPh sb="11" eb="13">
      <t>サクジョ</t>
    </rPh>
    <phoneticPr fontId="6"/>
  </si>
  <si>
    <t>RSHEETルールの確認を追加(RT-RT-35850)
これにより、↑のセルフォーカス確認単体項目は削除</t>
    <rPh sb="44" eb="46">
      <t>カクニン</t>
    </rPh>
    <rPh sb="46" eb="48">
      <t>タンタイ</t>
    </rPh>
    <rPh sb="48" eb="50">
      <t>コウモク</t>
    </rPh>
    <rPh sb="51" eb="53">
      <t>サクジョ</t>
    </rPh>
    <phoneticPr fontId="6"/>
  </si>
  <si>
    <t>2-53追加</t>
    <rPh sb="4" eb="6">
      <t>ツイカ</t>
    </rPh>
    <phoneticPr fontId="6"/>
  </si>
  <si>
    <t>SPANタグ挿入によるデータ導出タグ &amp;{TBL_xxx}が残っていない事を確認する。</t>
    <phoneticPr fontId="6"/>
  </si>
  <si>
    <t>2-58</t>
    <phoneticPr fontId="6"/>
  </si>
  <si>
    <t>ソート順の指定を追加（RT-RT-35531）</t>
    <rPh sb="3" eb="4">
      <t>ジュン</t>
    </rPh>
    <rPh sb="5" eb="7">
      <t>シテイ</t>
    </rPh>
    <rPh sb="8" eb="10">
      <t>ツイカ</t>
    </rPh>
    <phoneticPr fontId="6"/>
  </si>
  <si>
    <t>UT結果＆ソースチェックシート</t>
  </si>
  <si>
    <t>2-67</t>
    <phoneticPr fontId="6"/>
  </si>
  <si>
    <t>ファイル読み込みの場合にオープンモードを考慮する（RT-RT-35133）</t>
    <rPh sb="4" eb="5">
      <t>ヨ</t>
    </rPh>
    <rPh sb="6" eb="7">
      <t>コ</t>
    </rPh>
    <rPh sb="9" eb="11">
      <t>バアイ</t>
    </rPh>
    <rPh sb="20" eb="22">
      <t>コウリョ</t>
    </rPh>
    <phoneticPr fontId="6"/>
  </si>
  <si>
    <t>2-85</t>
    <phoneticPr fontId="6"/>
  </si>
  <si>
    <t>江口</t>
    <rPh sb="0" eb="1">
      <t>エ</t>
    </rPh>
    <rPh sb="1" eb="2">
      <t>グチ</t>
    </rPh>
    <phoneticPr fontId="6"/>
  </si>
  <si>
    <t>2-84</t>
    <phoneticPr fontId="6"/>
  </si>
  <si>
    <t>顧客関連情報IFの転送先の設定が不正[ITb](RT-RT-36164)</t>
    <phoneticPr fontId="6"/>
  </si>
  <si>
    <t>2-24</t>
    <phoneticPr fontId="6"/>
  </si>
  <si>
    <t>融資登録画面にて「変更」「キャンセル」ボタン押下でシステムエラー[ITB](RT-RT-36112)</t>
    <phoneticPr fontId="6"/>
  </si>
  <si>
    <t>2-61</t>
    <phoneticPr fontId="6"/>
  </si>
  <si>
    <t>削除</t>
  </si>
  <si>
    <t>江口</t>
  </si>
  <si>
    <t>三島統合DB調査用</t>
  </si>
  <si>
    <t>ジョブ名：RS連携</t>
  </si>
  <si>
    <t>名寄せインターフェース作成停止対応(RT-RT-34369)</t>
  </si>
  <si>
    <t>テーブル結合条件に関する注意（RT-RT-35024）</t>
    <rPh sb="4" eb="6">
      <t>ケツゴウ</t>
    </rPh>
    <rPh sb="6" eb="8">
      <t>ジョウケン</t>
    </rPh>
    <rPh sb="9" eb="10">
      <t>カン</t>
    </rPh>
    <rPh sb="12" eb="14">
      <t>チュウイ</t>
    </rPh>
    <phoneticPr fontId="6"/>
  </si>
  <si>
    <t>2-81</t>
    <phoneticPr fontId="6"/>
  </si>
  <si>
    <t>テストデータパターンに関する注意（RT-RT-35024）</t>
    <rPh sb="11" eb="12">
      <t>カン</t>
    </rPh>
    <rPh sb="14" eb="16">
      <t>チュウイ</t>
    </rPh>
    <phoneticPr fontId="6"/>
  </si>
  <si>
    <t>2-3</t>
    <phoneticPr fontId="6"/>
  </si>
  <si>
    <t>井上</t>
    <rPh sb="0" eb="2">
      <t>イノウエ</t>
    </rPh>
    <phoneticPr fontId="6"/>
  </si>
  <si>
    <r>
      <rPr>
        <strike/>
        <sz val="9"/>
        <rFont val="Meiryo UI"/>
        <family val="3"/>
        <charset val="128"/>
      </rPr>
      <t>設計書チェックシート</t>
    </r>
    <r>
      <rPr>
        <sz val="9"/>
        <rFont val="Meiryo UI"/>
        <family val="3"/>
        <charset val="128"/>
      </rPr>
      <t>実装チェックシート</t>
    </r>
    <rPh sb="10" eb="12">
      <t>ジッソウ</t>
    </rPh>
    <phoneticPr fontId="6"/>
  </si>
  <si>
    <r>
      <rPr>
        <strike/>
        <sz val="9"/>
        <rFont val="Meiryo UI"/>
        <family val="3"/>
        <charset val="128"/>
      </rPr>
      <t>2-25</t>
    </r>
    <r>
      <rPr>
        <sz val="9"/>
        <rFont val="Meiryo UI"/>
        <family val="3"/>
        <charset val="128"/>
      </rPr>
      <t>3-1</t>
    </r>
    <phoneticPr fontId="6"/>
  </si>
  <si>
    <t>AutoPostBack定義に関する注意（RT-RT-35535）
→実装チェックシートへ移動</t>
    <rPh sb="15" eb="16">
      <t>カン</t>
    </rPh>
    <rPh sb="18" eb="20">
      <t>チュウイ</t>
    </rPh>
    <rPh sb="35" eb="37">
      <t>ジッソウ</t>
    </rPh>
    <rPh sb="45" eb="47">
      <t>イドウ</t>
    </rPh>
    <phoneticPr fontId="6"/>
  </si>
  <si>
    <t>2-40</t>
    <phoneticPr fontId="6"/>
  </si>
  <si>
    <t>エラー表示後の登録不可確認追加（RT-RT-35535）</t>
    <rPh sb="3" eb="5">
      <t>ヒョウジ</t>
    </rPh>
    <rPh sb="5" eb="6">
      <t>ゴ</t>
    </rPh>
    <rPh sb="7" eb="9">
      <t>トウロク</t>
    </rPh>
    <rPh sb="9" eb="11">
      <t>フカ</t>
    </rPh>
    <rPh sb="11" eb="13">
      <t>カクニン</t>
    </rPh>
    <rPh sb="13" eb="15">
      <t>ツイカ</t>
    </rPh>
    <phoneticPr fontId="6"/>
  </si>
  <si>
    <t>2-16</t>
    <phoneticPr fontId="6"/>
  </si>
  <si>
    <t>全画面打鍵を実施する際の注意事項を追加（RT-RT-34395）</t>
    <rPh sb="12" eb="14">
      <t>チュウイ</t>
    </rPh>
    <rPh sb="14" eb="16">
      <t>ジコウ</t>
    </rPh>
    <rPh sb="17" eb="19">
      <t>ツイカ</t>
    </rPh>
    <phoneticPr fontId="6"/>
  </si>
  <si>
    <t>1-16</t>
    <phoneticPr fontId="6"/>
  </si>
  <si>
    <t>西原</t>
    <rPh sb="0" eb="2">
      <t>ニシハラ</t>
    </rPh>
    <phoneticPr fontId="6"/>
  </si>
  <si>
    <t>2-71</t>
    <phoneticPr fontId="6"/>
  </si>
  <si>
    <t>購入モジュール間連携の確認を追加（RT-RT-36353）</t>
    <rPh sb="11" eb="13">
      <t>カクニン</t>
    </rPh>
    <rPh sb="14" eb="16">
      <t>ツイカ</t>
    </rPh>
    <phoneticPr fontId="6"/>
  </si>
  <si>
    <t>2-89</t>
    <phoneticPr fontId="6"/>
  </si>
  <si>
    <t>3-20</t>
    <phoneticPr fontId="6"/>
  </si>
  <si>
    <t>追加</t>
    <rPh sb="0" eb="2">
      <t>ツイカ</t>
    </rPh>
    <phoneticPr fontId="2"/>
  </si>
  <si>
    <t>望月</t>
    <rPh sb="0" eb="2">
      <t>モチヅキ</t>
    </rPh>
    <phoneticPr fontId="2"/>
  </si>
  <si>
    <t>3-8</t>
    <phoneticPr fontId="6"/>
  </si>
  <si>
    <t>バッチジョブ変更時のDROP処理デグレード注意（RT-RT-35148）</t>
    <rPh sb="8" eb="9">
      <t>ジ</t>
    </rPh>
    <rPh sb="21" eb="23">
      <t>チュウイ</t>
    </rPh>
    <phoneticPr fontId="2"/>
  </si>
  <si>
    <t>本田</t>
    <rPh sb="0" eb="2">
      <t>ホンダ</t>
    </rPh>
    <phoneticPr fontId="2"/>
  </si>
  <si>
    <t>実装チェックシート</t>
    <rPh sb="0" eb="2">
      <t>ジッソウ</t>
    </rPh>
    <phoneticPr fontId="6"/>
  </si>
  <si>
    <t>1-2</t>
    <phoneticPr fontId="6"/>
  </si>
  <si>
    <t>一覧系画面でのデッドロック回避について（RT-RT-35134）</t>
    <rPh sb="0" eb="3">
      <t>イチランケイ</t>
    </rPh>
    <rPh sb="3" eb="5">
      <t>ガメン</t>
    </rPh>
    <rPh sb="13" eb="15">
      <t>カイヒ</t>
    </rPh>
    <phoneticPr fontId="6"/>
  </si>
  <si>
    <t>1-2 ,3 ,4 ,5 ,6</t>
    <phoneticPr fontId="6"/>
  </si>
  <si>
    <t>文字列日付変換、文字列数値変換、inner join、diryread、拡張FW</t>
    <rPh sb="0" eb="3">
      <t>モジレツ</t>
    </rPh>
    <rPh sb="3" eb="5">
      <t>ヒヅケ</t>
    </rPh>
    <rPh sb="5" eb="7">
      <t>ヘンカン</t>
    </rPh>
    <rPh sb="8" eb="11">
      <t>モジレツ</t>
    </rPh>
    <rPh sb="11" eb="13">
      <t>スウチ</t>
    </rPh>
    <rPh sb="13" eb="15">
      <t>ヘンカン</t>
    </rPh>
    <rPh sb="36" eb="38">
      <t>カクチョウ</t>
    </rPh>
    <phoneticPr fontId="6"/>
  </si>
  <si>
    <t>1-8 ,9</t>
    <phoneticPr fontId="6"/>
  </si>
  <si>
    <t>条件分岐（Case）、条件設定（基準年月）（RT-RT-36585）</t>
    <rPh sb="0" eb="2">
      <t>ジョウケン</t>
    </rPh>
    <rPh sb="2" eb="4">
      <t>ブンキ</t>
    </rPh>
    <rPh sb="11" eb="13">
      <t>ジョウケン</t>
    </rPh>
    <rPh sb="13" eb="15">
      <t>セッテイ</t>
    </rPh>
    <rPh sb="16" eb="18">
      <t>キジュン</t>
    </rPh>
    <rPh sb="18" eb="20">
      <t>ネンゲツ</t>
    </rPh>
    <phoneticPr fontId="6"/>
  </si>
  <si>
    <t>3-2</t>
    <phoneticPr fontId="6"/>
  </si>
  <si>
    <t>画面項目使用不可制御</t>
    <rPh sb="0" eb="2">
      <t>ガメン</t>
    </rPh>
    <rPh sb="2" eb="4">
      <t>コウモク</t>
    </rPh>
    <rPh sb="4" eb="6">
      <t>シヨウ</t>
    </rPh>
    <rPh sb="6" eb="8">
      <t>フカ</t>
    </rPh>
    <rPh sb="8" eb="10">
      <t>セイギョ</t>
    </rPh>
    <phoneticPr fontId="6"/>
  </si>
  <si>
    <t>3-3</t>
    <phoneticPr fontId="6"/>
  </si>
  <si>
    <t>コメントんついて、C#、SP、Agent、XMLを追加</t>
    <rPh sb="25" eb="27">
      <t>ツイカ</t>
    </rPh>
    <phoneticPr fontId="6"/>
  </si>
  <si>
    <t>実装チェックシート</t>
    <phoneticPr fontId="6"/>
  </si>
  <si>
    <t>画面項目使用不可制御
実施しなかった場合の影響を追記</t>
    <rPh sb="24" eb="26">
      <t>ツイキ</t>
    </rPh>
    <phoneticPr fontId="6"/>
  </si>
  <si>
    <t>2-63</t>
    <phoneticPr fontId="6"/>
  </si>
  <si>
    <t>設定変更時は「各種設定の定義方法.xlsx」を確認する(RT-RT-37893)</t>
    <rPh sb="0" eb="2">
      <t>セッテイ</t>
    </rPh>
    <rPh sb="2" eb="4">
      <t>ヘンコウ</t>
    </rPh>
    <rPh sb="4" eb="5">
      <t>ジ</t>
    </rPh>
    <rPh sb="23" eb="25">
      <t>カクニン</t>
    </rPh>
    <phoneticPr fontId="6"/>
  </si>
  <si>
    <t>山田</t>
    <rPh sb="0" eb="2">
      <t>ヤマダ</t>
    </rPh>
    <phoneticPr fontId="6"/>
  </si>
  <si>
    <t>1-3</t>
    <phoneticPr fontId="6"/>
  </si>
  <si>
    <t>テスト仕様書の記載方法の確認　を追加</t>
    <rPh sb="16" eb="18">
      <t>ツイカ</t>
    </rPh>
    <phoneticPr fontId="6"/>
  </si>
  <si>
    <t>テスト結果の作成方法の確認　を追加</t>
    <phoneticPr fontId="6"/>
  </si>
  <si>
    <t>2-6</t>
    <phoneticPr fontId="6"/>
  </si>
  <si>
    <t>RSHEET修正前後のテンプレート比較結果をエビデンス取得の追加</t>
    <rPh sb="30" eb="32">
      <t>ツイカ</t>
    </rPh>
    <phoneticPr fontId="6"/>
  </si>
  <si>
    <t>2-10</t>
    <phoneticPr fontId="6"/>
  </si>
  <si>
    <t>修正前後のエビデンスを作成しているかの確認を追加</t>
    <rPh sb="19" eb="21">
      <t>カクニン</t>
    </rPh>
    <rPh sb="22" eb="24">
      <t>ツイカ</t>
    </rPh>
    <phoneticPr fontId="6"/>
  </si>
  <si>
    <t>UT仕様書参照用</t>
    <phoneticPr fontId="6"/>
  </si>
  <si>
    <t>「UT仕様書参照用」シートを新規追加</t>
    <rPh sb="14" eb="16">
      <t>シンキ</t>
    </rPh>
    <rPh sb="16" eb="18">
      <t>ツイカ</t>
    </rPh>
    <phoneticPr fontId="6"/>
  </si>
  <si>
    <t>UT結果チェックリスト</t>
    <phoneticPr fontId="6"/>
  </si>
  <si>
    <t>「UT結果チェックリスト」シートを新規追加</t>
    <rPh sb="17" eb="19">
      <t>シンキ</t>
    </rPh>
    <rPh sb="19" eb="21">
      <t>ツイカ</t>
    </rPh>
    <phoneticPr fontId="6"/>
  </si>
  <si>
    <t>UT結果参照用</t>
    <phoneticPr fontId="6"/>
  </si>
  <si>
    <t>「UT結果参照用」シートを新規追加</t>
    <rPh sb="13" eb="15">
      <t>シンキ</t>
    </rPh>
    <rPh sb="15" eb="17">
      <t>ツイカ</t>
    </rPh>
    <phoneticPr fontId="6"/>
  </si>
  <si>
    <t>2-13</t>
    <phoneticPr fontId="6"/>
  </si>
  <si>
    <t>CASE文実装時の暗黙的型変換に関する注意事項を新規追加</t>
    <rPh sb="4" eb="5">
      <t>ブン</t>
    </rPh>
    <rPh sb="5" eb="7">
      <t>ジッソウ</t>
    </rPh>
    <rPh sb="7" eb="8">
      <t>ジ</t>
    </rPh>
    <rPh sb="9" eb="12">
      <t>アンモクテキ</t>
    </rPh>
    <rPh sb="12" eb="13">
      <t>カタ</t>
    </rPh>
    <rPh sb="13" eb="15">
      <t>ヘンカン</t>
    </rPh>
    <rPh sb="16" eb="17">
      <t>カン</t>
    </rPh>
    <rPh sb="19" eb="21">
      <t>チュウイ</t>
    </rPh>
    <rPh sb="21" eb="23">
      <t>ジコウ</t>
    </rPh>
    <rPh sb="24" eb="26">
      <t>シンキ</t>
    </rPh>
    <rPh sb="26" eb="28">
      <t>ツイカ</t>
    </rPh>
    <phoneticPr fontId="6"/>
  </si>
  <si>
    <t>UT結果&amp;ソースチェックシート ⇒ UT実施</t>
    <rPh sb="2" eb="4">
      <t>ケッカ</t>
    </rPh>
    <rPh sb="20" eb="22">
      <t>ジッシ</t>
    </rPh>
    <phoneticPr fontId="6"/>
  </si>
  <si>
    <t xml:space="preserve">UT結果&amp;ソースチェックシート ⇒ UT実施（一部を実装チェックシート）
UT結果（エビデンス作成）チェックリスト
UT仕様書【参考】
UT結果(エビデンス作成)【参考】
</t>
    <rPh sb="23" eb="25">
      <t>イチブ</t>
    </rPh>
    <rPh sb="26" eb="28">
      <t>ジッソウ</t>
    </rPh>
    <rPh sb="39" eb="41">
      <t>ケッカ</t>
    </rPh>
    <rPh sb="47" eb="49">
      <t>サクセイ</t>
    </rPh>
    <rPh sb="60" eb="62">
      <t>シヨウ</t>
    </rPh>
    <rPh sb="62" eb="63">
      <t>ショ</t>
    </rPh>
    <rPh sb="64" eb="66">
      <t>サンコウ</t>
    </rPh>
    <rPh sb="70" eb="72">
      <t>ケッカ</t>
    </rPh>
    <rPh sb="78" eb="80">
      <t>サクセイ</t>
    </rPh>
    <phoneticPr fontId="6"/>
  </si>
  <si>
    <t>2-50</t>
    <phoneticPr fontId="6"/>
  </si>
  <si>
    <t>・少数値が存在する場合は、ゼロ以外の値でテストする旨を追加
・計算ロジックを流用した場合でも端数処理のテストを行う旨を追加</t>
    <rPh sb="27" eb="29">
      <t>ツイカ</t>
    </rPh>
    <rPh sb="59" eb="61">
      <t>ツイカ</t>
    </rPh>
    <phoneticPr fontId="6"/>
  </si>
  <si>
    <t>2-42</t>
    <phoneticPr fontId="6"/>
  </si>
  <si>
    <t>Rシートの確認方法について追加</t>
    <rPh sb="5" eb="7">
      <t>カクニン</t>
    </rPh>
    <rPh sb="7" eb="9">
      <t>ホウホウ</t>
    </rPh>
    <rPh sb="13" eb="15">
      <t>ツイカ</t>
    </rPh>
    <phoneticPr fontId="6"/>
  </si>
  <si>
    <t>2-9</t>
    <phoneticPr fontId="6"/>
  </si>
  <si>
    <t>日付項目について半角空白を入力不可とする考慮を追記</t>
    <rPh sb="0" eb="2">
      <t>ヒヅケ</t>
    </rPh>
    <rPh sb="2" eb="4">
      <t>コウモク</t>
    </rPh>
    <rPh sb="8" eb="10">
      <t>ハンカク</t>
    </rPh>
    <rPh sb="10" eb="12">
      <t>クウハク</t>
    </rPh>
    <rPh sb="13" eb="15">
      <t>ニュウリョク</t>
    </rPh>
    <rPh sb="15" eb="17">
      <t>フカ</t>
    </rPh>
    <rPh sb="20" eb="22">
      <t>コウリョ</t>
    </rPh>
    <rPh sb="23" eb="25">
      <t>ツイキ</t>
    </rPh>
    <phoneticPr fontId="6"/>
  </si>
  <si>
    <t>実装チェックシート</t>
  </si>
  <si>
    <t>3-5</t>
    <phoneticPr fontId="6"/>
  </si>
  <si>
    <t>UT仕様書チェックシート</t>
  </si>
  <si>
    <t>2-12</t>
    <phoneticPr fontId="6"/>
  </si>
  <si>
    <t>2-17</t>
    <phoneticPr fontId="6"/>
  </si>
  <si>
    <t xml:space="preserve">一時テーブルに大量データ(100行以上)を挿入するとパフォーマンスが大幅に劣化する可能性がある。
</t>
    <phoneticPr fontId="6"/>
  </si>
  <si>
    <t>成果物作成チェックシート</t>
    <rPh sb="0" eb="2">
      <t>セイカ</t>
    </rPh>
    <rPh sb="2" eb="3">
      <t>ブツ</t>
    </rPh>
    <rPh sb="3" eb="5">
      <t>サクセイ</t>
    </rPh>
    <phoneticPr fontId="6"/>
  </si>
  <si>
    <t>成果物作成チェックシートを新規作成</t>
    <rPh sb="13" eb="15">
      <t>シンキ</t>
    </rPh>
    <rPh sb="15" eb="17">
      <t>サクセイ</t>
    </rPh>
    <phoneticPr fontId="6"/>
  </si>
  <si>
    <t>UT実施</t>
    <phoneticPr fontId="6"/>
  </si>
  <si>
    <t>1-5</t>
    <phoneticPr fontId="6"/>
  </si>
  <si>
    <t>前提事項にテスト環境追加</t>
    <rPh sb="0" eb="2">
      <t>ゼンテイ</t>
    </rPh>
    <rPh sb="2" eb="4">
      <t>ジコウ</t>
    </rPh>
    <rPh sb="10" eb="12">
      <t>ツイカ</t>
    </rPh>
    <phoneticPr fontId="6"/>
  </si>
  <si>
    <t>大谷</t>
    <rPh sb="0" eb="2">
      <t>オオタニ</t>
    </rPh>
    <phoneticPr fontId="6"/>
  </si>
  <si>
    <t>RSHEET作成時、印刷範囲のページ設定を追加</t>
    <rPh sb="6" eb="8">
      <t>サクセイ</t>
    </rPh>
    <rPh sb="8" eb="9">
      <t>ジ</t>
    </rPh>
    <rPh sb="10" eb="12">
      <t>インサツ</t>
    </rPh>
    <rPh sb="12" eb="14">
      <t>ハンイ</t>
    </rPh>
    <rPh sb="18" eb="20">
      <t>セッテイ</t>
    </rPh>
    <rPh sb="21" eb="23">
      <t>ツイカ</t>
    </rPh>
    <phoneticPr fontId="6"/>
  </si>
  <si>
    <t>UT仕様書チェックシート（稟議）</t>
    <rPh sb="2" eb="5">
      <t>シヨウショ</t>
    </rPh>
    <rPh sb="13" eb="15">
      <t>リンギ</t>
    </rPh>
    <phoneticPr fontId="6"/>
  </si>
  <si>
    <t>UT仕様書チェックシート（稟議）を追加</t>
    <rPh sb="17" eb="19">
      <t>ツイカ</t>
    </rPh>
    <phoneticPr fontId="6"/>
  </si>
  <si>
    <t>渋田</t>
    <rPh sb="0" eb="2">
      <t>シブタ</t>
    </rPh>
    <phoneticPr fontId="2"/>
  </si>
  <si>
    <t>UT仕様書チェックシート</t>
    <rPh sb="2" eb="5">
      <t>シヨウショ</t>
    </rPh>
    <phoneticPr fontId="2"/>
  </si>
  <si>
    <t>2-6,2-7</t>
    <phoneticPr fontId="2"/>
  </si>
  <si>
    <t>プルダウンメニュー、テキストボックスの表示が切れていないことの確認を追加</t>
    <rPh sb="19" eb="21">
      <t>ヒョウジ</t>
    </rPh>
    <rPh sb="22" eb="23">
      <t>キ</t>
    </rPh>
    <rPh sb="31" eb="33">
      <t>カクニン</t>
    </rPh>
    <rPh sb="34" eb="36">
      <t>ツイカ</t>
    </rPh>
    <phoneticPr fontId="2"/>
  </si>
  <si>
    <t>五反田</t>
    <rPh sb="0" eb="3">
      <t>ゴタンダ</t>
    </rPh>
    <phoneticPr fontId="6"/>
  </si>
  <si>
    <t>2-7</t>
    <phoneticPr fontId="6"/>
  </si>
  <si>
    <t>UNION実装時に関する注意事項を新規追加</t>
    <rPh sb="5" eb="7">
      <t>ジッソウ</t>
    </rPh>
    <rPh sb="7" eb="8">
      <t>ジ</t>
    </rPh>
    <rPh sb="9" eb="10">
      <t>カン</t>
    </rPh>
    <rPh sb="12" eb="14">
      <t>チュウイ</t>
    </rPh>
    <rPh sb="14" eb="16">
      <t>ジコウ</t>
    </rPh>
    <rPh sb="17" eb="19">
      <t>シンキ</t>
    </rPh>
    <rPh sb="19" eb="21">
      <t>ツイカ</t>
    </rPh>
    <phoneticPr fontId="6"/>
  </si>
  <si>
    <t>西田</t>
    <rPh sb="0" eb="2">
      <t>ニシダ</t>
    </rPh>
    <phoneticPr fontId="6"/>
  </si>
  <si>
    <t>設計書チェックシート</t>
    <rPh sb="0" eb="3">
      <t>セッケイショ</t>
    </rPh>
    <phoneticPr fontId="6"/>
  </si>
  <si>
    <t>2-73</t>
    <phoneticPr fontId="6"/>
  </si>
  <si>
    <t>ドキュメントの修正履歴に関する確認を追加</t>
    <rPh sb="7" eb="9">
      <t>シュウセイ</t>
    </rPh>
    <rPh sb="9" eb="11">
      <t>リレキ</t>
    </rPh>
    <rPh sb="12" eb="13">
      <t>カン</t>
    </rPh>
    <rPh sb="15" eb="17">
      <t>カクニン</t>
    </rPh>
    <rPh sb="18" eb="20">
      <t>ツイカ</t>
    </rPh>
    <phoneticPr fontId="6"/>
  </si>
  <si>
    <t>4-1</t>
    <phoneticPr fontId="6"/>
  </si>
  <si>
    <t>マージ作業におけるコード差分比較について追加</t>
    <rPh sb="3" eb="5">
      <t>サギョウ</t>
    </rPh>
    <rPh sb="12" eb="14">
      <t>サブン</t>
    </rPh>
    <rPh sb="14" eb="16">
      <t>ヒカク</t>
    </rPh>
    <rPh sb="20" eb="22">
      <t>ツイカ</t>
    </rPh>
    <phoneticPr fontId="6"/>
  </si>
  <si>
    <t>画面制御に関する観点を追加</t>
    <rPh sb="0" eb="2">
      <t>ガメン</t>
    </rPh>
    <rPh sb="2" eb="4">
      <t>セイギョ</t>
    </rPh>
    <rPh sb="5" eb="6">
      <t>カン</t>
    </rPh>
    <rPh sb="8" eb="10">
      <t>カンテン</t>
    </rPh>
    <rPh sb="11" eb="13">
      <t>ツイカ</t>
    </rPh>
    <phoneticPr fontId="6"/>
  </si>
  <si>
    <t>・比較確認を行う場合は、「修正前→修正後」、「修正前→修正後」の結果をエビデンス取得する旨を追加
・差分が出た項目(黄色セル)に対して、差分理由を噴出しでコメント記載する旨を追加</t>
    <rPh sb="3" eb="5">
      <t>カクニン</t>
    </rPh>
    <rPh sb="44" eb="45">
      <t>ムネ</t>
    </rPh>
    <rPh sb="46" eb="48">
      <t>ツイカ</t>
    </rPh>
    <rPh sb="85" eb="86">
      <t>ムネ</t>
    </rPh>
    <rPh sb="87" eb="89">
      <t>ツイカ</t>
    </rPh>
    <phoneticPr fontId="6"/>
  </si>
  <si>
    <t>・RSheetのフォーマットを修正した場合は、全ての「$TBLxxx」を抽出した上で、全ての項目に対して出力確認を行なう旨を記載</t>
    <rPh sb="57" eb="58">
      <t>オコ</t>
    </rPh>
    <rPh sb="60" eb="61">
      <t>ムネ</t>
    </rPh>
    <rPh sb="62" eb="64">
      <t>キサイ</t>
    </rPh>
    <phoneticPr fontId="6"/>
  </si>
  <si>
    <t>木村</t>
    <rPh sb="0" eb="2">
      <t>キムラ</t>
    </rPh>
    <phoneticPr fontId="6"/>
  </si>
  <si>
    <t>4-2</t>
    <phoneticPr fontId="6"/>
  </si>
  <si>
    <t>チェックイン確認方法に関する注意事項を追加（RT-RT-40678）</t>
    <rPh sb="6" eb="8">
      <t>カクニン</t>
    </rPh>
    <rPh sb="8" eb="10">
      <t>ホウホウ</t>
    </rPh>
    <rPh sb="11" eb="12">
      <t>カン</t>
    </rPh>
    <rPh sb="14" eb="16">
      <t>チュウイ</t>
    </rPh>
    <rPh sb="16" eb="18">
      <t>ジコウ</t>
    </rPh>
    <rPh sb="19" eb="21">
      <t>ツイカ</t>
    </rPh>
    <phoneticPr fontId="6"/>
  </si>
  <si>
    <t>ITAチェックシート</t>
    <phoneticPr fontId="6"/>
  </si>
  <si>
    <t>バッチを実行時のログの確認を追加
三島の統合DBの場合は特に注意する旨を記載（RT-RT-40678）</t>
    <rPh sb="4" eb="6">
      <t>ジッコウ</t>
    </rPh>
    <rPh sb="6" eb="7">
      <t>ジ</t>
    </rPh>
    <rPh sb="11" eb="13">
      <t>カクニン</t>
    </rPh>
    <rPh sb="14" eb="16">
      <t>ツイカ</t>
    </rPh>
    <rPh sb="17" eb="19">
      <t>ミシマ</t>
    </rPh>
    <rPh sb="20" eb="22">
      <t>トウゴウ</t>
    </rPh>
    <rPh sb="25" eb="27">
      <t>バアイ</t>
    </rPh>
    <rPh sb="28" eb="29">
      <t>トク</t>
    </rPh>
    <rPh sb="30" eb="32">
      <t>チュウイ</t>
    </rPh>
    <rPh sb="34" eb="35">
      <t>ムネ</t>
    </rPh>
    <rPh sb="36" eb="38">
      <t>キサイ</t>
    </rPh>
    <phoneticPr fontId="6"/>
  </si>
  <si>
    <t>1-8</t>
    <phoneticPr fontId="6"/>
  </si>
  <si>
    <t>本田</t>
    <rPh sb="0" eb="2">
      <t>ホンダ</t>
    </rPh>
    <phoneticPr fontId="6"/>
  </si>
  <si>
    <t>・帳票に表示するデータが、該当する画面項目と完全に一致することを確認する旨追記。</t>
    <rPh sb="1" eb="3">
      <t>チョウヒョウ</t>
    </rPh>
    <rPh sb="4" eb="6">
      <t>ヒョウジ</t>
    </rPh>
    <rPh sb="36" eb="37">
      <t>ムネ</t>
    </rPh>
    <rPh sb="37" eb="39">
      <t>ツイキ</t>
    </rPh>
    <phoneticPr fontId="6"/>
  </si>
  <si>
    <t>変更</t>
    <rPh sb="0" eb="2">
      <t>ヘンコウ</t>
    </rPh>
    <phoneticPr fontId="6"/>
  </si>
  <si>
    <t>2-37</t>
    <phoneticPr fontId="6"/>
  </si>
  <si>
    <t>・文字数カウント時、半角英数字も1文字としてカウントする旨追記。</t>
    <rPh sb="1" eb="4">
      <t>モジスウ</t>
    </rPh>
    <rPh sb="8" eb="9">
      <t>ジ</t>
    </rPh>
    <rPh sb="10" eb="12">
      <t>ハンカク</t>
    </rPh>
    <rPh sb="12" eb="15">
      <t>エイスウジ</t>
    </rPh>
    <rPh sb="17" eb="19">
      <t>モジ</t>
    </rPh>
    <rPh sb="28" eb="29">
      <t>ムネ</t>
    </rPh>
    <rPh sb="29" eb="31">
      <t>ツイキ</t>
    </rPh>
    <phoneticPr fontId="6"/>
  </si>
  <si>
    <t>UT仕様書チェックシート
UT実施</t>
    <rPh sb="2" eb="5">
      <t>シヨウショ</t>
    </rPh>
    <phoneticPr fontId="6"/>
  </si>
  <si>
    <t>2-100
2-11</t>
    <phoneticPr fontId="6"/>
  </si>
  <si>
    <t>汎用コードや画面項目定義を修正した場合、DB反映後にIISの再起動を実施する旨記載。</t>
    <rPh sb="0" eb="2">
      <t>ハンヨウ</t>
    </rPh>
    <rPh sb="6" eb="8">
      <t>ガメン</t>
    </rPh>
    <rPh sb="8" eb="10">
      <t>コウモク</t>
    </rPh>
    <rPh sb="10" eb="12">
      <t>テイギ</t>
    </rPh>
    <rPh sb="13" eb="15">
      <t>シュウセイ</t>
    </rPh>
    <rPh sb="17" eb="19">
      <t>バアイ</t>
    </rPh>
    <rPh sb="22" eb="24">
      <t>ハンエイ</t>
    </rPh>
    <rPh sb="24" eb="25">
      <t>ゴ</t>
    </rPh>
    <rPh sb="30" eb="33">
      <t>サイキドウ</t>
    </rPh>
    <rPh sb="34" eb="36">
      <t>ジッシ</t>
    </rPh>
    <rPh sb="38" eb="39">
      <t>ムネ</t>
    </rPh>
    <rPh sb="39" eb="41">
      <t>キサイ</t>
    </rPh>
    <phoneticPr fontId="6"/>
  </si>
  <si>
    <t>3-10</t>
    <phoneticPr fontId="6"/>
  </si>
  <si>
    <t>RSHEET開発時の初期フォーカス位置に関する確認事項を追加。</t>
    <rPh sb="6" eb="8">
      <t>カイハツ</t>
    </rPh>
    <rPh sb="8" eb="9">
      <t>ジ</t>
    </rPh>
    <rPh sb="10" eb="12">
      <t>ショキ</t>
    </rPh>
    <rPh sb="17" eb="19">
      <t>イチ</t>
    </rPh>
    <rPh sb="20" eb="21">
      <t>カン</t>
    </rPh>
    <rPh sb="23" eb="25">
      <t>カクニン</t>
    </rPh>
    <rPh sb="25" eb="27">
      <t>ジコウ</t>
    </rPh>
    <rPh sb="28" eb="30">
      <t>ツイカ</t>
    </rPh>
    <phoneticPr fontId="6"/>
  </si>
  <si>
    <t>三好</t>
    <rPh sb="0" eb="2">
      <t>ミヨシ</t>
    </rPh>
    <phoneticPr fontId="2"/>
  </si>
  <si>
    <t>ITBチェックシート
受入チェックシート</t>
    <phoneticPr fontId="2"/>
  </si>
  <si>
    <t>2-2,2-10,2-15,2-16
1-2,1-10,1-15,1-16</t>
    <phoneticPr fontId="2"/>
  </si>
  <si>
    <t>チェック観点の追加・整備</t>
    <rPh sb="4" eb="6">
      <t>カンテン</t>
    </rPh>
    <rPh sb="7" eb="9">
      <t>ツイカ</t>
    </rPh>
    <rPh sb="10" eb="12">
      <t>セイビ</t>
    </rPh>
    <phoneticPr fontId="2"/>
  </si>
  <si>
    <t>大樂</t>
    <rPh sb="0" eb="1">
      <t>ダイ</t>
    </rPh>
    <rPh sb="1" eb="2">
      <t>ラク</t>
    </rPh>
    <phoneticPr fontId="2"/>
  </si>
  <si>
    <t>実装チェックシート
UT実施チェックシート</t>
    <rPh sb="0" eb="2">
      <t>ジッソウ</t>
    </rPh>
    <rPh sb="12" eb="14">
      <t>ジッシ</t>
    </rPh>
    <phoneticPr fontId="2"/>
  </si>
  <si>
    <t>実装チェックシート：1-1を新規追加
UT実施チェックシート：1-6を追加</t>
    <rPh sb="0" eb="2">
      <t>ジッソウ</t>
    </rPh>
    <rPh sb="14" eb="16">
      <t>シンキ</t>
    </rPh>
    <rPh sb="16" eb="18">
      <t>ツイカ</t>
    </rPh>
    <rPh sb="21" eb="23">
      <t>ジッシ</t>
    </rPh>
    <rPh sb="35" eb="37">
      <t>ツイカ</t>
    </rPh>
    <phoneticPr fontId="6"/>
  </si>
  <si>
    <t>テスト環境についてチェック項目追加</t>
    <rPh sb="3" eb="5">
      <t>カンキョウ</t>
    </rPh>
    <rPh sb="13" eb="15">
      <t>コウモク</t>
    </rPh>
    <rPh sb="15" eb="17">
      <t>ツイカ</t>
    </rPh>
    <phoneticPr fontId="2"/>
  </si>
  <si>
    <t>1-1、1-12</t>
    <phoneticPr fontId="6"/>
  </si>
  <si>
    <t>・No.振りなおし
・テストケース全般について追加
・稟議の基本条件画面について追加</t>
    <rPh sb="4" eb="5">
      <t>フ</t>
    </rPh>
    <rPh sb="17" eb="19">
      <t>ゼンパン</t>
    </rPh>
    <rPh sb="23" eb="25">
      <t>ツイカ</t>
    </rPh>
    <rPh sb="27" eb="29">
      <t>リンギ</t>
    </rPh>
    <rPh sb="30" eb="32">
      <t>キホン</t>
    </rPh>
    <rPh sb="32" eb="34">
      <t>ジョウケン</t>
    </rPh>
    <rPh sb="34" eb="36">
      <t>ガメン</t>
    </rPh>
    <rPh sb="40" eb="42">
      <t>ツイカ</t>
    </rPh>
    <phoneticPr fontId="6"/>
  </si>
  <si>
    <t>2-98</t>
    <phoneticPr fontId="6"/>
  </si>
  <si>
    <t>格付ワークフローのステータス確認を追加</t>
    <rPh sb="14" eb="16">
      <t>カクニン</t>
    </rPh>
    <rPh sb="17" eb="19">
      <t>ツイカ</t>
    </rPh>
    <phoneticPr fontId="6"/>
  </si>
  <si>
    <t>松野</t>
    <rPh sb="0" eb="2">
      <t>マツノ</t>
    </rPh>
    <phoneticPr fontId="6"/>
  </si>
  <si>
    <t>2-74</t>
    <phoneticPr fontId="6"/>
  </si>
  <si>
    <t>データパッチ対象の前日、当日、翌日の更新パターン確認を追加</t>
    <rPh sb="6" eb="8">
      <t>タイショウ</t>
    </rPh>
    <rPh sb="9" eb="11">
      <t>ゼンジツ</t>
    </rPh>
    <rPh sb="12" eb="14">
      <t>トウジツ</t>
    </rPh>
    <rPh sb="15" eb="17">
      <t>ヨクジツ</t>
    </rPh>
    <rPh sb="18" eb="20">
      <t>コウシン</t>
    </rPh>
    <rPh sb="24" eb="26">
      <t>カクニン</t>
    </rPh>
    <rPh sb="27" eb="29">
      <t>ツイカ</t>
    </rPh>
    <phoneticPr fontId="6"/>
  </si>
  <si>
    <t>2-21</t>
    <phoneticPr fontId="6"/>
  </si>
  <si>
    <t>2-25</t>
    <phoneticPr fontId="6"/>
  </si>
  <si>
    <t>宮崎銀行不動産の受付登録画面変更時の更新パターン表確認を追加</t>
    <rPh sb="0" eb="2">
      <t>ミヤザキ</t>
    </rPh>
    <rPh sb="2" eb="4">
      <t>ギンコウ</t>
    </rPh>
    <rPh sb="4" eb="7">
      <t>フドウサン</t>
    </rPh>
    <rPh sb="8" eb="10">
      <t>ウケツケ</t>
    </rPh>
    <rPh sb="10" eb="12">
      <t>トウロク</t>
    </rPh>
    <rPh sb="12" eb="14">
      <t>ガメン</t>
    </rPh>
    <rPh sb="14" eb="16">
      <t>ヘンコウ</t>
    </rPh>
    <rPh sb="16" eb="17">
      <t>ジ</t>
    </rPh>
    <rPh sb="18" eb="20">
      <t>コウシン</t>
    </rPh>
    <rPh sb="24" eb="25">
      <t>ヒョウ</t>
    </rPh>
    <rPh sb="25" eb="27">
      <t>カクニン</t>
    </rPh>
    <rPh sb="28" eb="30">
      <t>ツイカ</t>
    </rPh>
    <phoneticPr fontId="6"/>
  </si>
  <si>
    <t>2-8</t>
    <phoneticPr fontId="6"/>
  </si>
  <si>
    <t>RT-RT-43747　三島信用金庫2016年度レベルアップ　契約書発行</t>
    <rPh sb="12" eb="14">
      <t>ミシマ</t>
    </rPh>
    <rPh sb="14" eb="16">
      <t>シンヨウ</t>
    </rPh>
    <rPh sb="16" eb="18">
      <t>キンコ</t>
    </rPh>
    <rPh sb="22" eb="24">
      <t>ネンド</t>
    </rPh>
    <rPh sb="31" eb="33">
      <t>ケイヤク</t>
    </rPh>
    <rPh sb="33" eb="34">
      <t>ショ</t>
    </rPh>
    <rPh sb="34" eb="36">
      <t>ハッコウ</t>
    </rPh>
    <phoneticPr fontId="6"/>
  </si>
  <si>
    <t>2-21
1-21</t>
    <phoneticPr fontId="2"/>
  </si>
  <si>
    <t>全画面仕様書の格納場所についての記載を修正</t>
    <rPh sb="0" eb="3">
      <t>ゼンガメン</t>
    </rPh>
    <rPh sb="3" eb="6">
      <t>シヨウショ</t>
    </rPh>
    <rPh sb="7" eb="9">
      <t>カクノウ</t>
    </rPh>
    <rPh sb="9" eb="11">
      <t>バショ</t>
    </rPh>
    <rPh sb="16" eb="18">
      <t>キサイ</t>
    </rPh>
    <rPh sb="19" eb="21">
      <t>シュウセイ</t>
    </rPh>
    <phoneticPr fontId="6"/>
  </si>
  <si>
    <t>UT仕様書チェックシート</t>
    <phoneticPr fontId="2"/>
  </si>
  <si>
    <t>2-44</t>
    <phoneticPr fontId="2"/>
  </si>
  <si>
    <t>・印刷した帳票に確認を実施した箇所にチェックを付与し、手書きしたものをPDF化して、テスト結果に含める。
を追記</t>
    <rPh sb="1" eb="3">
      <t>インサツ</t>
    </rPh>
    <rPh sb="5" eb="7">
      <t>チョウヒョウ</t>
    </rPh>
    <rPh sb="8" eb="10">
      <t>カクニン</t>
    </rPh>
    <rPh sb="11" eb="13">
      <t>ジッシ</t>
    </rPh>
    <rPh sb="15" eb="17">
      <t>カショ</t>
    </rPh>
    <rPh sb="23" eb="25">
      <t>フヨ</t>
    </rPh>
    <rPh sb="27" eb="29">
      <t>テガ</t>
    </rPh>
    <rPh sb="38" eb="39">
      <t>カ</t>
    </rPh>
    <rPh sb="45" eb="47">
      <t>ケッカ</t>
    </rPh>
    <rPh sb="48" eb="49">
      <t>フク</t>
    </rPh>
    <rPh sb="54" eb="56">
      <t>ツイキ</t>
    </rPh>
    <phoneticPr fontId="6"/>
  </si>
  <si>
    <t>UT仕様書チェックシート
セル保護確認方法【参考】</t>
    <phoneticPr fontId="2"/>
  </si>
  <si>
    <t>2-45</t>
    <phoneticPr fontId="2"/>
  </si>
  <si>
    <t>・セルの保護を確認するチェック観点を追加また、セルの保護設定の確認方法を別シートに記載</t>
    <rPh sb="4" eb="6">
      <t>ホゴ</t>
    </rPh>
    <rPh sb="7" eb="9">
      <t>カクニン</t>
    </rPh>
    <rPh sb="15" eb="17">
      <t>カンテン</t>
    </rPh>
    <rPh sb="18" eb="20">
      <t>ツイカ</t>
    </rPh>
    <rPh sb="26" eb="28">
      <t>ホゴ</t>
    </rPh>
    <rPh sb="28" eb="30">
      <t>セッテイ</t>
    </rPh>
    <rPh sb="31" eb="33">
      <t>カクニン</t>
    </rPh>
    <rPh sb="33" eb="35">
      <t>ホウホウ</t>
    </rPh>
    <rPh sb="36" eb="37">
      <t>ベツ</t>
    </rPh>
    <rPh sb="41" eb="43">
      <t>キサイ</t>
    </rPh>
    <phoneticPr fontId="6"/>
  </si>
  <si>
    <t>牧野</t>
    <rPh sb="0" eb="2">
      <t>マキノ</t>
    </rPh>
    <phoneticPr fontId="6"/>
  </si>
  <si>
    <t>2-78</t>
    <phoneticPr fontId="2"/>
  </si>
  <si>
    <t>・IF設定定義を変更した場合のテスト観点を追記</t>
    <rPh sb="3" eb="5">
      <t>セッテイ</t>
    </rPh>
    <rPh sb="5" eb="7">
      <t>テイギ</t>
    </rPh>
    <rPh sb="8" eb="10">
      <t>ヘンコウ</t>
    </rPh>
    <rPh sb="12" eb="14">
      <t>バアイ</t>
    </rPh>
    <rPh sb="18" eb="20">
      <t>カンテン</t>
    </rPh>
    <rPh sb="21" eb="23">
      <t>ツイキ</t>
    </rPh>
    <phoneticPr fontId="6"/>
  </si>
  <si>
    <t>DTS、SSISを対応した場合のテスト観点を追記</t>
    <rPh sb="9" eb="11">
      <t>タイオウ</t>
    </rPh>
    <rPh sb="13" eb="15">
      <t>バアイ</t>
    </rPh>
    <rPh sb="19" eb="21">
      <t>カンテン</t>
    </rPh>
    <rPh sb="22" eb="24">
      <t>ツイキ</t>
    </rPh>
    <phoneticPr fontId="6"/>
  </si>
  <si>
    <t>3-8、3-9</t>
    <phoneticPr fontId="6"/>
  </si>
  <si>
    <t>ON句に記載するテーブル項目についても同様にインデックス項目であることを確認すること。</t>
    <rPh sb="2" eb="3">
      <t>ク</t>
    </rPh>
    <rPh sb="4" eb="6">
      <t>キサイ</t>
    </rPh>
    <rPh sb="12" eb="14">
      <t>コウモク</t>
    </rPh>
    <rPh sb="19" eb="21">
      <t>ドウヨウ</t>
    </rPh>
    <rPh sb="28" eb="30">
      <t>コウモク</t>
    </rPh>
    <rPh sb="36" eb="38">
      <t>カクニン</t>
    </rPh>
    <phoneticPr fontId="6"/>
  </si>
  <si>
    <t>宮下</t>
    <rPh sb="0" eb="2">
      <t>ミヤシタ</t>
    </rPh>
    <phoneticPr fontId="6"/>
  </si>
  <si>
    <t>3-14</t>
    <phoneticPr fontId="6"/>
  </si>
  <si>
    <t>WHERE句に記載するカラムについて、確認（試験）内容を追加</t>
    <rPh sb="5" eb="6">
      <t>ク</t>
    </rPh>
    <rPh sb="7" eb="9">
      <t>キサイ</t>
    </rPh>
    <rPh sb="19" eb="21">
      <t>カクニン</t>
    </rPh>
    <rPh sb="22" eb="24">
      <t>シケン</t>
    </rPh>
    <rPh sb="25" eb="27">
      <t>ナイヨウ</t>
    </rPh>
    <rPh sb="28" eb="30">
      <t>ツイカ</t>
    </rPh>
    <phoneticPr fontId="6"/>
  </si>
  <si>
    <t>井上</t>
    <rPh sb="0" eb="2">
      <t>イノウエ</t>
    </rPh>
    <phoneticPr fontId="2"/>
  </si>
  <si>
    <t>設計書チェックシート</t>
    <phoneticPr fontId="2"/>
  </si>
  <si>
    <t>2-39</t>
    <phoneticPr fontId="2"/>
  </si>
  <si>
    <t>Excelの和暦変換表示の留意点を追加</t>
    <rPh sb="6" eb="8">
      <t>ワレキ</t>
    </rPh>
    <rPh sb="8" eb="10">
      <t>ヘンカン</t>
    </rPh>
    <rPh sb="10" eb="12">
      <t>ヒョウジ</t>
    </rPh>
    <rPh sb="13" eb="16">
      <t>リュウイテン</t>
    </rPh>
    <rPh sb="17" eb="19">
      <t>ツイカ</t>
    </rPh>
    <phoneticPr fontId="2"/>
  </si>
  <si>
    <t>2-50</t>
    <phoneticPr fontId="2"/>
  </si>
  <si>
    <t>2-26</t>
    <phoneticPr fontId="6"/>
  </si>
  <si>
    <t>UI全般(.NET3.5対応)改修時の留意点を追加</t>
    <rPh sb="15" eb="17">
      <t>カイシュウ</t>
    </rPh>
    <rPh sb="17" eb="18">
      <t>ジ</t>
    </rPh>
    <rPh sb="19" eb="21">
      <t>リュウイ</t>
    </rPh>
    <rPh sb="21" eb="22">
      <t>テン</t>
    </rPh>
    <rPh sb="23" eb="25">
      <t>ツイカ</t>
    </rPh>
    <phoneticPr fontId="6"/>
  </si>
  <si>
    <t>2-43</t>
    <phoneticPr fontId="2"/>
  </si>
  <si>
    <t>WEB画面UI改修時チェックリスト(.Net3.5対応)</t>
    <phoneticPr fontId="6"/>
  </si>
  <si>
    <t>新規シート追加</t>
    <rPh sb="0" eb="2">
      <t>シンキ</t>
    </rPh>
    <rPh sb="5" eb="7">
      <t>ツイカ</t>
    </rPh>
    <phoneticPr fontId="6"/>
  </si>
  <si>
    <t>加藤</t>
    <rPh sb="0" eb="2">
      <t>カトウ</t>
    </rPh>
    <phoneticPr fontId="2"/>
  </si>
  <si>
    <t>2-62</t>
  </si>
  <si>
    <t>データ抽出に関する観点を追加</t>
    <rPh sb="3" eb="5">
      <t>チュウシュツ</t>
    </rPh>
    <rPh sb="6" eb="7">
      <t>カン</t>
    </rPh>
    <rPh sb="9" eb="11">
      <t>カンテン</t>
    </rPh>
    <rPh sb="12" eb="14">
      <t>ツイカ</t>
    </rPh>
    <phoneticPr fontId="2"/>
  </si>
  <si>
    <t>2-100</t>
    <phoneticPr fontId="2"/>
  </si>
  <si>
    <t>クライアントバージョンアップチェックシート</t>
    <phoneticPr fontId="6"/>
  </si>
  <si>
    <t>大谷</t>
    <rPh sb="0" eb="2">
      <t>オオタニ</t>
    </rPh>
    <phoneticPr fontId="2"/>
  </si>
  <si>
    <t>2-11</t>
    <phoneticPr fontId="6"/>
  </si>
  <si>
    <t>夜間バッチのファイル作成処理の観点を追加</t>
    <rPh sb="0" eb="2">
      <t>ヤカン</t>
    </rPh>
    <rPh sb="10" eb="12">
      <t>サクセイ</t>
    </rPh>
    <rPh sb="12" eb="14">
      <t>ショリ</t>
    </rPh>
    <rPh sb="15" eb="17">
      <t>カンテン</t>
    </rPh>
    <rPh sb="18" eb="20">
      <t>ツイカ</t>
    </rPh>
    <phoneticPr fontId="6"/>
  </si>
  <si>
    <t>三ツ木</t>
    <rPh sb="0" eb="1">
      <t>ミ</t>
    </rPh>
    <rPh sb="2" eb="3">
      <t>ギ</t>
    </rPh>
    <phoneticPr fontId="6"/>
  </si>
  <si>
    <t>各チェックシート</t>
    <rPh sb="0" eb="1">
      <t>カク</t>
    </rPh>
    <phoneticPr fontId="6"/>
  </si>
  <si>
    <t>－</t>
    <phoneticPr fontId="6"/>
  </si>
  <si>
    <t>対応要否の入力規制がおかしい部分を修正。全て( /Y/N/-)が入力できるよう変更。</t>
    <rPh sb="0" eb="2">
      <t>タイオウ</t>
    </rPh>
    <rPh sb="2" eb="3">
      <t>ヨウ</t>
    </rPh>
    <rPh sb="3" eb="4">
      <t>ヒ</t>
    </rPh>
    <rPh sb="5" eb="7">
      <t>ニュウリョク</t>
    </rPh>
    <rPh sb="7" eb="9">
      <t>キセイ</t>
    </rPh>
    <rPh sb="14" eb="16">
      <t>ブブン</t>
    </rPh>
    <rPh sb="17" eb="19">
      <t>シュウセイ</t>
    </rPh>
    <rPh sb="20" eb="21">
      <t>スベ</t>
    </rPh>
    <rPh sb="32" eb="34">
      <t>ニュウリョク</t>
    </rPh>
    <rPh sb="39" eb="41">
      <t>ヘンコウ</t>
    </rPh>
    <phoneticPr fontId="6"/>
  </si>
  <si>
    <t>非運用日に関する影響調査について追記。</t>
    <rPh sb="0" eb="1">
      <t>ヒ</t>
    </rPh>
    <rPh sb="1" eb="3">
      <t>ウンヨウ</t>
    </rPh>
    <rPh sb="3" eb="4">
      <t>ヒ</t>
    </rPh>
    <rPh sb="5" eb="6">
      <t>カン</t>
    </rPh>
    <rPh sb="8" eb="10">
      <t>エイキョウ</t>
    </rPh>
    <rPh sb="10" eb="12">
      <t>チョウサ</t>
    </rPh>
    <rPh sb="16" eb="18">
      <t>ツイキ</t>
    </rPh>
    <phoneticPr fontId="6"/>
  </si>
  <si>
    <t>ステップ追加削除時の考慮を追記</t>
    <rPh sb="4" eb="6">
      <t>ツイカ</t>
    </rPh>
    <rPh sb="6" eb="8">
      <t>サクジョ</t>
    </rPh>
    <rPh sb="8" eb="9">
      <t>ジ</t>
    </rPh>
    <rPh sb="10" eb="12">
      <t>コウリョ</t>
    </rPh>
    <rPh sb="13" eb="15">
      <t>ツイキ</t>
    </rPh>
    <phoneticPr fontId="6"/>
  </si>
  <si>
    <t>奥貫</t>
    <rPh sb="0" eb="2">
      <t>オクヌキ</t>
    </rPh>
    <phoneticPr fontId="6"/>
  </si>
  <si>
    <t>2-48</t>
    <phoneticPr fontId="6"/>
  </si>
  <si>
    <t>RSHEETのテンプレート修正時の確認事項を追記</t>
    <rPh sb="13" eb="15">
      <t>シュウセイ</t>
    </rPh>
    <rPh sb="15" eb="16">
      <t>ジ</t>
    </rPh>
    <rPh sb="17" eb="19">
      <t>カクニン</t>
    </rPh>
    <rPh sb="19" eb="21">
      <t>ジコウ</t>
    </rPh>
    <rPh sb="22" eb="24">
      <t>ツイキ</t>
    </rPh>
    <phoneticPr fontId="6"/>
  </si>
  <si>
    <t>那波</t>
    <rPh sb="0" eb="2">
      <t>ナナミ</t>
    </rPh>
    <phoneticPr fontId="6"/>
  </si>
  <si>
    <t>設計書チェックシート
実装チェックシート
UT仕様書チェックシート
成果物作成チェックシート
ITAチェックシート
ITBチェックシート</t>
    <phoneticPr fontId="6"/>
  </si>
  <si>
    <t xml:space="preserve">設計書チェックシート：3-2
実装チェックシート：5-2
UT仕様書チェックシート：2-107
成果物作成チェックシート：1-4
ITAチェックシート：2-22
ITBチェックシート：2-9、2-28
</t>
    <rPh sb="14" eb="16">
      <t>ジッソウ</t>
    </rPh>
    <phoneticPr fontId="6"/>
  </si>
  <si>
    <t xml:space="preserve">E列に記載している全てのシート：修正対象の一覧と設計書を突合し抜け漏れがないか確認する観点を追加
ITBチェックシートのみ：サーバ更改時の夜間バッチのに関する観点を追加
</t>
    <rPh sb="65" eb="67">
      <t>コウカイ</t>
    </rPh>
    <rPh sb="67" eb="68">
      <t>ジ</t>
    </rPh>
    <rPh sb="69" eb="71">
      <t>ヤカン</t>
    </rPh>
    <rPh sb="76" eb="77">
      <t>カン</t>
    </rPh>
    <rPh sb="79" eb="81">
      <t>カンテン</t>
    </rPh>
    <rPh sb="82" eb="84">
      <t>ツイカ</t>
    </rPh>
    <phoneticPr fontId="6"/>
  </si>
  <si>
    <t>設計書チェックシート：2-20</t>
  </si>
  <si>
    <t>排他制御に関する観点を追記</t>
    <rPh sb="0" eb="4">
      <t>ハイタセイギョ</t>
    </rPh>
    <rPh sb="5" eb="6">
      <t>カン</t>
    </rPh>
    <rPh sb="8" eb="10">
      <t>カンテン</t>
    </rPh>
    <rPh sb="11" eb="13">
      <t>ツイキ</t>
    </rPh>
    <phoneticPr fontId="2"/>
  </si>
  <si>
    <t>変更</t>
    <rPh sb="0" eb="2">
      <t>ヘンコウ</t>
    </rPh>
    <phoneticPr fontId="2"/>
  </si>
  <si>
    <t>那波</t>
    <rPh sb="0" eb="2">
      <t>ナナミ</t>
    </rPh>
    <phoneticPr fontId="2"/>
  </si>
  <si>
    <t>2-8</t>
    <phoneticPr fontId="2"/>
  </si>
  <si>
    <t>画面サイズによって表示位置が流動的な箇所に項目を追加する場合の考慮を追加</t>
    <rPh sb="31" eb="33">
      <t>コウリョ</t>
    </rPh>
    <rPh sb="34" eb="36">
      <t>ツイカ</t>
    </rPh>
    <phoneticPr fontId="2"/>
  </si>
  <si>
    <t>山内</t>
    <rPh sb="0" eb="2">
      <t>ヤマウチ</t>
    </rPh>
    <phoneticPr fontId="2"/>
  </si>
  <si>
    <t>4-12</t>
    <phoneticPr fontId="2"/>
  </si>
  <si>
    <t>過去データ削除のチェック項目を追加</t>
    <rPh sb="0" eb="2">
      <t>カコ</t>
    </rPh>
    <rPh sb="5" eb="7">
      <t>サクジョ</t>
    </rPh>
    <rPh sb="12" eb="14">
      <t>コウモク</t>
    </rPh>
    <rPh sb="15" eb="17">
      <t>ツイカ</t>
    </rPh>
    <phoneticPr fontId="2"/>
  </si>
  <si>
    <t>ITBチェックシート</t>
    <phoneticPr fontId="2"/>
  </si>
  <si>
    <t>2-7</t>
    <phoneticPr fontId="2"/>
  </si>
  <si>
    <t>小柏</t>
    <rPh sb="0" eb="2">
      <t>オガシワ</t>
    </rPh>
    <phoneticPr fontId="2"/>
  </si>
  <si>
    <t>2-51</t>
    <phoneticPr fontId="2"/>
  </si>
  <si>
    <t>新規Agent作成時の注意点を追記</t>
    <rPh sb="0" eb="2">
      <t>シンキ</t>
    </rPh>
    <rPh sb="7" eb="9">
      <t>サクセイ</t>
    </rPh>
    <rPh sb="9" eb="10">
      <t>ジ</t>
    </rPh>
    <rPh sb="11" eb="14">
      <t>チュウイテン</t>
    </rPh>
    <rPh sb="15" eb="17">
      <t>ツイキ</t>
    </rPh>
    <phoneticPr fontId="2"/>
  </si>
  <si>
    <t>日付</t>
    <rPh sb="0" eb="2">
      <t>ヒヅケ</t>
    </rPh>
    <phoneticPr fontId="2"/>
  </si>
  <si>
    <t>担当</t>
    <rPh sb="0" eb="2">
      <t>タントウ</t>
    </rPh>
    <phoneticPr fontId="2"/>
  </si>
  <si>
    <t>案件番号／案件名</t>
    <rPh sb="0" eb="1">
      <t>アン</t>
    </rPh>
    <rPh sb="1" eb="2">
      <t>ケン</t>
    </rPh>
    <rPh sb="2" eb="4">
      <t>バンゴウ</t>
    </rPh>
    <rPh sb="5" eb="7">
      <t>アンケン</t>
    </rPh>
    <rPh sb="7" eb="8">
      <t>メイ</t>
    </rPh>
    <phoneticPr fontId="2"/>
  </si>
  <si>
    <t>開発</t>
    <rPh sb="0" eb="2">
      <t>カイハツ</t>
    </rPh>
    <phoneticPr fontId="2"/>
  </si>
  <si>
    <t>作成</t>
    <rPh sb="0" eb="2">
      <t>サクセイ</t>
    </rPh>
    <phoneticPr fontId="2"/>
  </si>
  <si>
    <t>検証</t>
    <rPh sb="0" eb="2">
      <t>ケンショウ</t>
    </rPh>
    <phoneticPr fontId="2"/>
  </si>
  <si>
    <t>品川</t>
    <rPh sb="0" eb="1">
      <t>シナ</t>
    </rPh>
    <rPh sb="1" eb="2">
      <t>ガワ</t>
    </rPh>
    <phoneticPr fontId="2"/>
  </si>
  <si>
    <t>検証1</t>
    <rPh sb="0" eb="2">
      <t>ケンショウ</t>
    </rPh>
    <phoneticPr fontId="2"/>
  </si>
  <si>
    <t>検証2</t>
    <rPh sb="0" eb="2">
      <t>ケンショウ</t>
    </rPh>
    <phoneticPr fontId="2"/>
  </si>
  <si>
    <t>変更内容</t>
    <rPh sb="0" eb="4">
      <t>ヘンコウナイヨウ</t>
    </rPh>
    <phoneticPr fontId="61"/>
  </si>
  <si>
    <t>画面</t>
    <rPh sb="0" eb="2">
      <t>ガメン</t>
    </rPh>
    <phoneticPr fontId="61"/>
  </si>
  <si>
    <t>帳票</t>
    <rPh sb="0" eb="2">
      <t>チョウヒョウ</t>
    </rPh>
    <phoneticPr fontId="61"/>
  </si>
  <si>
    <t>バッチ</t>
    <phoneticPr fontId="61"/>
  </si>
  <si>
    <t>SQL</t>
    <phoneticPr fontId="61"/>
  </si>
  <si>
    <t>テーブル</t>
    <phoneticPr fontId="61"/>
  </si>
  <si>
    <t>No</t>
    <phoneticPr fontId="2"/>
  </si>
  <si>
    <t>カテゴリ</t>
    <phoneticPr fontId="2"/>
  </si>
  <si>
    <t>確認（試験）ポイント</t>
    <rPh sb="0" eb="2">
      <t>カクニン</t>
    </rPh>
    <rPh sb="3" eb="5">
      <t>シケン</t>
    </rPh>
    <phoneticPr fontId="2"/>
  </si>
  <si>
    <t>確認（試験）内容</t>
    <rPh sb="6" eb="8">
      <t>ナイヨウ</t>
    </rPh>
    <phoneticPr fontId="2"/>
  </si>
  <si>
    <t>実施しなかった場合の影響</t>
    <rPh sb="0" eb="2">
      <t>ジッシ</t>
    </rPh>
    <rPh sb="7" eb="9">
      <t>バアイ</t>
    </rPh>
    <rPh sb="10" eb="12">
      <t>エイキョウ</t>
    </rPh>
    <phoneticPr fontId="2"/>
  </si>
  <si>
    <t>対応項目
絞り込み</t>
    <rPh sb="0" eb="2">
      <t>タイオウ</t>
    </rPh>
    <rPh sb="2" eb="4">
      <t>コウモク</t>
    </rPh>
    <rPh sb="5" eb="6">
      <t>シボ</t>
    </rPh>
    <rPh sb="7" eb="8">
      <t>コ</t>
    </rPh>
    <phoneticPr fontId="61"/>
  </si>
  <si>
    <t>対応
要否</t>
    <rPh sb="0" eb="2">
      <t>タイオウ</t>
    </rPh>
    <rPh sb="3" eb="5">
      <t>ヨウヒ</t>
    </rPh>
    <phoneticPr fontId="2"/>
  </si>
  <si>
    <t>対応しない理由</t>
    <rPh sb="0" eb="2">
      <t>タイオウ</t>
    </rPh>
    <rPh sb="5" eb="7">
      <t>リユウ</t>
    </rPh>
    <phoneticPr fontId="2"/>
  </si>
  <si>
    <t>前提</t>
    <rPh sb="0" eb="2">
      <t>ゼンテイ</t>
    </rPh>
    <phoneticPr fontId="2"/>
  </si>
  <si>
    <t>1-1</t>
    <phoneticPr fontId="2"/>
  </si>
  <si>
    <t>トレーニング</t>
    <phoneticPr fontId="2"/>
  </si>
  <si>
    <t xml:space="preserve">・開発規約の確認（VSS： $/Document/001.Package/A.開発管理）
</t>
    <phoneticPr fontId="2"/>
  </si>
  <si>
    <t>〇</t>
    <phoneticPr fontId="61"/>
  </si>
  <si>
    <t>1-2</t>
  </si>
  <si>
    <t>成果物</t>
    <rPh sb="0" eb="2">
      <t>セイカ</t>
    </rPh>
    <rPh sb="2" eb="3">
      <t>ブツ</t>
    </rPh>
    <phoneticPr fontId="2"/>
  </si>
  <si>
    <t xml:space="preserve">・成果物の確認
</t>
    <rPh sb="1" eb="3">
      <t>セイカ</t>
    </rPh>
    <rPh sb="3" eb="4">
      <t>ブツ</t>
    </rPh>
    <rPh sb="5" eb="7">
      <t>カクニン</t>
    </rPh>
    <phoneticPr fontId="2"/>
  </si>
  <si>
    <t>〇</t>
  </si>
  <si>
    <t>Y</t>
    <phoneticPr fontId="2"/>
  </si>
  <si>
    <t>設計</t>
    <rPh sb="0" eb="2">
      <t>セッケイ</t>
    </rPh>
    <phoneticPr fontId="2"/>
  </si>
  <si>
    <t>N</t>
    <phoneticPr fontId="2"/>
  </si>
  <si>
    <t>2-1</t>
    <phoneticPr fontId="2"/>
  </si>
  <si>
    <t>画面</t>
    <rPh sb="0" eb="2">
      <t>ガメン</t>
    </rPh>
    <phoneticPr fontId="2"/>
  </si>
  <si>
    <t>画面構成</t>
    <rPh sb="0" eb="2">
      <t>ガメン</t>
    </rPh>
    <rPh sb="2" eb="4">
      <t>コウセイ</t>
    </rPh>
    <phoneticPr fontId="2"/>
  </si>
  <si>
    <t>-</t>
    <phoneticPr fontId="2"/>
  </si>
  <si>
    <t>2-2</t>
  </si>
  <si>
    <t>2-3</t>
  </si>
  <si>
    <t>初期値</t>
  </si>
  <si>
    <t>〇</t>
    <phoneticPr fontId="2"/>
  </si>
  <si>
    <t>2-4</t>
  </si>
  <si>
    <t>I/O</t>
  </si>
  <si>
    <t xml:space="preserve">・編集可否制御、情報の取得と表示が要件通りとなっているか
</t>
    <rPh sb="1" eb="3">
      <t>ヘンシュウ</t>
    </rPh>
    <rPh sb="3" eb="5">
      <t>カヒ</t>
    </rPh>
    <rPh sb="5" eb="7">
      <t>セイギョ</t>
    </rPh>
    <rPh sb="8" eb="10">
      <t>ジョウホウ</t>
    </rPh>
    <rPh sb="11" eb="13">
      <t>シュトク</t>
    </rPh>
    <rPh sb="14" eb="16">
      <t>ヒョウジ</t>
    </rPh>
    <rPh sb="17" eb="20">
      <t>ヨウケンドオ</t>
    </rPh>
    <phoneticPr fontId="2"/>
  </si>
  <si>
    <t>2-5</t>
  </si>
  <si>
    <t xml:space="preserve">・表示データ内容の定義
</t>
    <phoneticPr fontId="2"/>
  </si>
  <si>
    <t>2-6</t>
  </si>
  <si>
    <t>2-7</t>
  </si>
  <si>
    <t>必須</t>
  </si>
  <si>
    <t xml:space="preserve">・項目の必須制御が要件通りとなっているか
</t>
    <rPh sb="1" eb="3">
      <t>コウモク</t>
    </rPh>
    <rPh sb="4" eb="6">
      <t>ヒッス</t>
    </rPh>
    <rPh sb="6" eb="8">
      <t>セイギョ</t>
    </rPh>
    <rPh sb="9" eb="12">
      <t>ヨウケンドオ</t>
    </rPh>
    <phoneticPr fontId="2"/>
  </si>
  <si>
    <t>2-8</t>
  </si>
  <si>
    <t>属性</t>
  </si>
  <si>
    <t xml:space="preserve">数値、日付、半角英数字、全角/半角の入力可否制御がなされているか
※日付項目について、先頭、末尾の半角空白が入力不可であること、半角空白を削除してから日付チェックを行っていること
</t>
    <rPh sb="18" eb="20">
      <t>ニュウリョク</t>
    </rPh>
    <rPh sb="20" eb="24">
      <t>カヒセイギョ</t>
    </rPh>
    <rPh sb="34" eb="36">
      <t>ヒヅケ</t>
    </rPh>
    <rPh sb="36" eb="38">
      <t>コウモク</t>
    </rPh>
    <rPh sb="43" eb="45">
      <t>セントウ</t>
    </rPh>
    <rPh sb="46" eb="48">
      <t>マツビ</t>
    </rPh>
    <rPh sb="49" eb="51">
      <t>ハンカク</t>
    </rPh>
    <rPh sb="51" eb="53">
      <t>クウハク</t>
    </rPh>
    <rPh sb="54" eb="56">
      <t>ニュウリョク</t>
    </rPh>
    <rPh sb="56" eb="58">
      <t>フカ</t>
    </rPh>
    <rPh sb="64" eb="66">
      <t>ハンカク</t>
    </rPh>
    <rPh sb="66" eb="68">
      <t>クウハク</t>
    </rPh>
    <rPh sb="69" eb="71">
      <t>サクジョ</t>
    </rPh>
    <rPh sb="75" eb="77">
      <t>ヒヅケ</t>
    </rPh>
    <rPh sb="82" eb="83">
      <t>オコナ</t>
    </rPh>
    <phoneticPr fontId="2"/>
  </si>
  <si>
    <t xml:space="preserve">日付項目について、半角空白が存在すると、表示処理にて日付変換ができずシステムエラーとなる。
</t>
    <rPh sb="0" eb="2">
      <t>ヒヅケ</t>
    </rPh>
    <rPh sb="2" eb="4">
      <t>コウモク</t>
    </rPh>
    <phoneticPr fontId="2"/>
  </si>
  <si>
    <t>2-9</t>
  </si>
  <si>
    <t>2-10</t>
  </si>
  <si>
    <t>2-11</t>
  </si>
  <si>
    <t>Format</t>
  </si>
  <si>
    <t xml:space="preserve">Format形式が定義されているか
※金額等の３桁区切り、\、%、-、/、年月日等
※表示状態、編集可否制御、文字配置等
</t>
    <rPh sb="6" eb="8">
      <t>ケイシキ</t>
    </rPh>
    <rPh sb="9" eb="11">
      <t>テイギ</t>
    </rPh>
    <rPh sb="19" eb="21">
      <t>キンガク</t>
    </rPh>
    <rPh sb="21" eb="22">
      <t>トウ</t>
    </rPh>
    <rPh sb="24" eb="25">
      <t>ケタ</t>
    </rPh>
    <rPh sb="25" eb="27">
      <t>クギ</t>
    </rPh>
    <rPh sb="40" eb="41">
      <t>ナド</t>
    </rPh>
    <rPh sb="43" eb="45">
      <t>ヒョウジ</t>
    </rPh>
    <rPh sb="45" eb="47">
      <t>ジョウタイ</t>
    </rPh>
    <rPh sb="48" eb="50">
      <t>ヘンシュウ</t>
    </rPh>
    <rPh sb="50" eb="54">
      <t>カヒセイギョ</t>
    </rPh>
    <rPh sb="55" eb="57">
      <t>モジ</t>
    </rPh>
    <rPh sb="57" eb="59">
      <t>ハイチ</t>
    </rPh>
    <rPh sb="59" eb="60">
      <t>トウ</t>
    </rPh>
    <phoneticPr fontId="2"/>
  </si>
  <si>
    <t>2-12</t>
  </si>
  <si>
    <t>桁数・範囲</t>
  </si>
  <si>
    <t xml:space="preserve">文字列、数値、金額項目に対する最小最大数について考慮できているか(文字数、バイト数、±記号や赤字等)
※境界値について確認をすること。
※端数処理（項目の単位や小数点以下桁数等の切り捨て、四捨五入等）について要件を確認すること。
</t>
    <rPh sb="24" eb="26">
      <t>コウリョ</t>
    </rPh>
    <rPh sb="48" eb="49">
      <t>トウ</t>
    </rPh>
    <rPh sb="59" eb="61">
      <t>カクニン</t>
    </rPh>
    <rPh sb="74" eb="76">
      <t>コウモク</t>
    </rPh>
    <rPh sb="77" eb="79">
      <t>タンイ</t>
    </rPh>
    <rPh sb="80" eb="83">
      <t>ショウスウテン</t>
    </rPh>
    <rPh sb="83" eb="85">
      <t>イカ</t>
    </rPh>
    <rPh sb="85" eb="87">
      <t>ケタスウ</t>
    </rPh>
    <rPh sb="87" eb="88">
      <t>ナド</t>
    </rPh>
    <rPh sb="89" eb="90">
      <t>キ</t>
    </rPh>
    <rPh sb="91" eb="92">
      <t>ス</t>
    </rPh>
    <rPh sb="94" eb="99">
      <t>シシャゴニュウトウ</t>
    </rPh>
    <rPh sb="104" eb="106">
      <t>ヨウケン</t>
    </rPh>
    <rPh sb="107" eb="109">
      <t>カクニン</t>
    </rPh>
    <phoneticPr fontId="2"/>
  </si>
  <si>
    <t>2-13</t>
  </si>
  <si>
    <t xml:space="preserve">・最小最大数の定義(バイト数)
</t>
    <phoneticPr fontId="2"/>
  </si>
  <si>
    <t>2-14</t>
  </si>
  <si>
    <t>2-15</t>
  </si>
  <si>
    <t xml:space="preserve">・端数処理の定義
</t>
    <phoneticPr fontId="2"/>
  </si>
  <si>
    <t>2-16</t>
  </si>
  <si>
    <t>Tab順</t>
  </si>
  <si>
    <t>2-17</t>
  </si>
  <si>
    <t>コントロール状態</t>
  </si>
  <si>
    <t>2-18</t>
  </si>
  <si>
    <t>メッセージ</t>
  </si>
  <si>
    <t xml:space="preserve">メッセージ内容が要件通り定義されているか
※各種記号の表示（括弧の有無や全角、半角等）については認識齟齬が発生しやすいため、十分に確認をすること。
※メッセージ内に金額や数値を表示する際にはカンマ編集や単位（9,999千円等）についての設定を確認すること。
</t>
    <rPh sb="5" eb="7">
      <t>ナイヨウ</t>
    </rPh>
    <rPh sb="8" eb="11">
      <t>ヨウケンドオ</t>
    </rPh>
    <rPh sb="12" eb="14">
      <t>テイギ</t>
    </rPh>
    <rPh sb="22" eb="24">
      <t>カクシュ</t>
    </rPh>
    <rPh sb="24" eb="26">
      <t>キゴウ</t>
    </rPh>
    <rPh sb="27" eb="29">
      <t>ヒョウジ</t>
    </rPh>
    <rPh sb="30" eb="32">
      <t>カッコ</t>
    </rPh>
    <rPh sb="33" eb="35">
      <t>ウム</t>
    </rPh>
    <rPh sb="36" eb="38">
      <t>ゼンカク</t>
    </rPh>
    <rPh sb="39" eb="41">
      <t>ハンカク</t>
    </rPh>
    <rPh sb="41" eb="42">
      <t>トウ</t>
    </rPh>
    <rPh sb="48" eb="52">
      <t>ニンシキソゴ</t>
    </rPh>
    <rPh sb="53" eb="55">
      <t>ハッセイ</t>
    </rPh>
    <rPh sb="62" eb="64">
      <t>ジュウブン</t>
    </rPh>
    <rPh sb="65" eb="67">
      <t>カクニン</t>
    </rPh>
    <rPh sb="80" eb="81">
      <t>ナイ</t>
    </rPh>
    <rPh sb="82" eb="84">
      <t>キンガク</t>
    </rPh>
    <rPh sb="85" eb="87">
      <t>スウチ</t>
    </rPh>
    <rPh sb="88" eb="90">
      <t>ヒョウジ</t>
    </rPh>
    <rPh sb="92" eb="93">
      <t>サイ</t>
    </rPh>
    <rPh sb="98" eb="100">
      <t>ヘンシュウ</t>
    </rPh>
    <rPh sb="101" eb="103">
      <t>タンイ</t>
    </rPh>
    <rPh sb="109" eb="111">
      <t>センエン</t>
    </rPh>
    <rPh sb="111" eb="112">
      <t>トウ</t>
    </rPh>
    <rPh sb="118" eb="120">
      <t>セッテイ</t>
    </rPh>
    <rPh sb="121" eb="123">
      <t>カクニン</t>
    </rPh>
    <phoneticPr fontId="2"/>
  </si>
  <si>
    <t>2-19</t>
  </si>
  <si>
    <t>DB更新</t>
  </si>
  <si>
    <t>2-20</t>
  </si>
  <si>
    <t>排他制御</t>
    <rPh sb="0" eb="4">
      <t>ハイタセイギョ</t>
    </rPh>
    <phoneticPr fontId="2"/>
  </si>
  <si>
    <t>・排他制御を考慮する必要がある場合明記しているか。</t>
    <rPh sb="1" eb="3">
      <t>ハイタ</t>
    </rPh>
    <rPh sb="3" eb="5">
      <t>セイギョ</t>
    </rPh>
    <rPh sb="6" eb="8">
      <t>コウリョ</t>
    </rPh>
    <rPh sb="10" eb="12">
      <t>ヒツヨウ</t>
    </rPh>
    <rPh sb="15" eb="17">
      <t>バアイ</t>
    </rPh>
    <rPh sb="17" eb="19">
      <t>メイキ</t>
    </rPh>
    <phoneticPr fontId="2"/>
  </si>
  <si>
    <t>2-21</t>
  </si>
  <si>
    <t>ログインユーザ</t>
  </si>
  <si>
    <t xml:space="preserve">・ユーザレベルのパターンで登録・変更・削除・参照可否の定義
</t>
    <phoneticPr fontId="2"/>
  </si>
  <si>
    <t>2-22</t>
  </si>
  <si>
    <t>帳票との整合性</t>
  </si>
  <si>
    <t xml:space="preserve">・帳票に同様の処理が実施されている場合には、ロジックを共有し、相違ないことを確認する
</t>
    <phoneticPr fontId="2"/>
  </si>
  <si>
    <t>2-23</t>
  </si>
  <si>
    <t>計算処理</t>
  </si>
  <si>
    <t xml:space="preserve">・計算処理について、除算が発生する場合は、0除算をどのように回避すべきか定義する。
（例：割り算をせずに、分子を出力する、or、100で割る、等）
</t>
    <phoneticPr fontId="2"/>
  </si>
  <si>
    <t xml:space="preserve">・NULLを含む項目との計算式の場合、計算結果結果として何を出力すべきか定義する
（例：NULLのまま、or,NULLを0として変換の上、計算、など）
※DBレイアウト上、NULL項目でなくても、OUTERJOINによりNULL化することも考慮に入れること。（例：前期比などの計算項目で、前期がない場合。）
</t>
    <phoneticPr fontId="2"/>
  </si>
  <si>
    <t>2-25</t>
  </si>
  <si>
    <t>画面遷移</t>
    <rPh sb="0" eb="2">
      <t>ガメン</t>
    </rPh>
    <rPh sb="2" eb="4">
      <t>センイ</t>
    </rPh>
    <phoneticPr fontId="2"/>
  </si>
  <si>
    <t>画面遷移がある場合、遷移元および遷移先に対する制御を明記しているか。
遷移元および遷移先が複数ある場合、操作によってエラー無く遷移できる制御になっているか。
（同一画面でポップアップ表示と画面遷移がある場合、ポップアップ画面を閉じて遷移元が正しく表示できるよう制御を明記しているか。）</t>
    <rPh sb="0" eb="2">
      <t>ガメン</t>
    </rPh>
    <rPh sb="2" eb="4">
      <t>センイ</t>
    </rPh>
    <rPh sb="7" eb="9">
      <t>バアイ</t>
    </rPh>
    <rPh sb="10" eb="12">
      <t>センイ</t>
    </rPh>
    <rPh sb="12" eb="13">
      <t>モト</t>
    </rPh>
    <rPh sb="16" eb="18">
      <t>センイ</t>
    </rPh>
    <rPh sb="18" eb="19">
      <t>サキ</t>
    </rPh>
    <rPh sb="20" eb="21">
      <t>タイ</t>
    </rPh>
    <rPh sb="23" eb="25">
      <t>セイギョ</t>
    </rPh>
    <rPh sb="26" eb="28">
      <t>メイキ</t>
    </rPh>
    <rPh sb="35" eb="37">
      <t>センイ</t>
    </rPh>
    <rPh sb="37" eb="38">
      <t>モト</t>
    </rPh>
    <rPh sb="41" eb="43">
      <t>センイ</t>
    </rPh>
    <rPh sb="43" eb="44">
      <t>サキ</t>
    </rPh>
    <rPh sb="45" eb="47">
      <t>フクスウ</t>
    </rPh>
    <rPh sb="49" eb="51">
      <t>バアイ</t>
    </rPh>
    <rPh sb="52" eb="54">
      <t>ソウサ</t>
    </rPh>
    <rPh sb="61" eb="62">
      <t>ナ</t>
    </rPh>
    <rPh sb="63" eb="65">
      <t>センイ</t>
    </rPh>
    <rPh sb="68" eb="70">
      <t>セイギョ</t>
    </rPh>
    <rPh sb="80" eb="82">
      <t>ドウイツ</t>
    </rPh>
    <rPh sb="82" eb="84">
      <t>ガメン</t>
    </rPh>
    <rPh sb="91" eb="93">
      <t>ヒョウジ</t>
    </rPh>
    <rPh sb="94" eb="96">
      <t>ガメン</t>
    </rPh>
    <rPh sb="96" eb="98">
      <t>センイ</t>
    </rPh>
    <rPh sb="101" eb="103">
      <t>バアイ</t>
    </rPh>
    <rPh sb="110" eb="112">
      <t>ガメン</t>
    </rPh>
    <rPh sb="113" eb="114">
      <t>ト</t>
    </rPh>
    <rPh sb="116" eb="118">
      <t>センイ</t>
    </rPh>
    <rPh sb="118" eb="119">
      <t>モト</t>
    </rPh>
    <rPh sb="120" eb="121">
      <t>タダ</t>
    </rPh>
    <rPh sb="123" eb="125">
      <t>ヒョウジ</t>
    </rPh>
    <rPh sb="130" eb="132">
      <t>セイギョ</t>
    </rPh>
    <rPh sb="133" eb="135">
      <t>メイキ</t>
    </rPh>
    <phoneticPr fontId="2"/>
  </si>
  <si>
    <t>遷移先が見つからずシステムエラーが発生する可能性がある。</t>
    <rPh sb="0" eb="2">
      <t>センイ</t>
    </rPh>
    <rPh sb="2" eb="3">
      <t>サキ</t>
    </rPh>
    <rPh sb="4" eb="5">
      <t>ミ</t>
    </rPh>
    <rPh sb="17" eb="19">
      <t>ハッセイ</t>
    </rPh>
    <rPh sb="21" eb="24">
      <t>カノウセイ</t>
    </rPh>
    <phoneticPr fontId="2"/>
  </si>
  <si>
    <t>2-26</t>
  </si>
  <si>
    <t>宮崎銀行不動産
（受付登録）</t>
    <rPh sb="0" eb="2">
      <t>ミヤザキ</t>
    </rPh>
    <rPh sb="2" eb="4">
      <t>ギンコウ</t>
    </rPh>
    <rPh sb="4" eb="7">
      <t>フドウサン</t>
    </rPh>
    <rPh sb="9" eb="11">
      <t>ウケツケ</t>
    </rPh>
    <rPh sb="11" eb="13">
      <t>トウロク</t>
    </rPh>
    <phoneticPr fontId="2"/>
  </si>
  <si>
    <t xml:space="preserve">・不動産担保評価の受付登録画面を改修する場合、更新パターン表の確認および更新を行うこと。
http://ksvnrp16.isid.co.jp/BANKR1/trunk/doc/080.Miyazaki/P07.不動産評価/03.マスタ/D.案件管理/宮崎銀行_不動産_受付登録画面更新パターン表.xlsx
</t>
    <phoneticPr fontId="2"/>
  </si>
  <si>
    <t xml:space="preserve">起票者および操作者のユーザ（権限）・ステータスごとで、正しく登録、更新ができなくなる可能性がある。
</t>
    <rPh sb="0" eb="2">
      <t>キヒョウ</t>
    </rPh>
    <rPh sb="2" eb="3">
      <t>シャ</t>
    </rPh>
    <rPh sb="6" eb="9">
      <t>ソウサシャ</t>
    </rPh>
    <rPh sb="14" eb="16">
      <t>ケンゲン</t>
    </rPh>
    <rPh sb="27" eb="28">
      <t>タダ</t>
    </rPh>
    <rPh sb="30" eb="32">
      <t>トウロク</t>
    </rPh>
    <rPh sb="33" eb="35">
      <t>コウシン</t>
    </rPh>
    <rPh sb="42" eb="45">
      <t>カノウセイ</t>
    </rPh>
    <phoneticPr fontId="2"/>
  </si>
  <si>
    <t>2-27</t>
  </si>
  <si>
    <t>帳票</t>
  </si>
  <si>
    <t>帳票構成</t>
    <phoneticPr fontId="2"/>
  </si>
  <si>
    <t xml:space="preserve">Rシートレイアウトについて「Rシートルール.xls」をチェックしている
・帳票レイアウト
・ラベル文字
・文字位置
・罫線の定義（編集対象外も含むレイアウト確認）
</t>
    <phoneticPr fontId="2"/>
  </si>
  <si>
    <t>2-28</t>
  </si>
  <si>
    <t xml:space="preserve">・対象DB
・カラムの定義
</t>
    <phoneticPr fontId="2"/>
  </si>
  <si>
    <t>2-29</t>
  </si>
  <si>
    <t xml:space="preserve">・RSheetの場合、編集できる状態になっているか、編集できない状態の定義
</t>
    <phoneticPr fontId="2"/>
  </si>
  <si>
    <t>2-30</t>
  </si>
  <si>
    <t>2-31</t>
  </si>
  <si>
    <t xml:space="preserve">・出力データ内容が概要書と合致していることを確認する
</t>
    <phoneticPr fontId="2"/>
  </si>
  <si>
    <t>2-32</t>
  </si>
  <si>
    <t>2-33</t>
  </si>
  <si>
    <t xml:space="preserve">・Format形式の定義 ( 3桁区切り、\、%、-、/、年月日など)
</t>
    <phoneticPr fontId="2"/>
  </si>
  <si>
    <t>2-34</t>
  </si>
  <si>
    <t xml:space="preserve">・最小最大数の定義(文字数)
</t>
    <phoneticPr fontId="2"/>
  </si>
  <si>
    <t>2-35</t>
  </si>
  <si>
    <t>2-36</t>
  </si>
  <si>
    <t xml:space="preserve">・数値最小最大数
・金額最小最大数
・境界値の定義(±記号のテスト)
</t>
    <phoneticPr fontId="2"/>
  </si>
  <si>
    <t>2-37</t>
  </si>
  <si>
    <t>2-38</t>
  </si>
  <si>
    <t>Excel表示形式</t>
  </si>
  <si>
    <t xml:space="preserve">・256 文字以上 1024 文字以下の文字を入力・表示する項目に対して表示形式が「標準」であることの確認。(表示形式が「文字列」の場合「#####」と表示されてしまうため。)
※255文字以下の場合は、「文字列」とする。
※半角英数字での最大入力可能文字数にて確認すること。例）VARCHAR(300)等も該当。
</t>
    <rPh sb="113" eb="118">
      <t>ハンカクエイスウジ</t>
    </rPh>
    <rPh sb="120" eb="122">
      <t>サイダイ</t>
    </rPh>
    <rPh sb="122" eb="124">
      <t>ニュウリョク</t>
    </rPh>
    <rPh sb="124" eb="129">
      <t>カノウモジスウ</t>
    </rPh>
    <rPh sb="131" eb="133">
      <t>カクニン</t>
    </rPh>
    <rPh sb="138" eb="139">
      <t>レイ</t>
    </rPh>
    <rPh sb="152" eb="153">
      <t>トウ</t>
    </rPh>
    <rPh sb="154" eb="156">
      <t>ガイトウ</t>
    </rPh>
    <phoneticPr fontId="2"/>
  </si>
  <si>
    <t>2-39</t>
  </si>
  <si>
    <t xml:space="preserve">・他セルを参照する際には、表示形式を参照先の表示形式に合わせるか「文字列」を設定する。
「文字列」以外の場合、以下のように参照先の表示形式が自動変換されてしまうため。
例．・金額　：カンマが表示されない
　　 ・レート：データが不正に表示される（例：[正]0.98%→[誤]0.00975）
　　 ・日付　：日付ではなく数字の羅列が表示される
</t>
    <phoneticPr fontId="2"/>
  </si>
  <si>
    <t>2-40</t>
  </si>
  <si>
    <t xml:space="preserve">・Excelに和暦を表示させる場合、西暦4桁を引数とする。（障害：RT-RT-46754参照）
西暦の下二桁をExcelの和暦変換関数に引き渡す場合、Excelでは 2029の29までは平成41年に変換できるが、2030の30から昭和55年に変換されてしまう
</t>
    <rPh sb="18" eb="20">
      <t>セイレキ</t>
    </rPh>
    <rPh sb="21" eb="22">
      <t>ケタ</t>
    </rPh>
    <rPh sb="23" eb="25">
      <t>ヒキスウ</t>
    </rPh>
    <phoneticPr fontId="2"/>
  </si>
  <si>
    <t>2-41</t>
  </si>
  <si>
    <t>画面との整合性</t>
  </si>
  <si>
    <t xml:space="preserve">・画面に同様の処理が実施されている場合には、ロジックを共有し、相違ないことを確認する
</t>
    <phoneticPr fontId="2"/>
  </si>
  <si>
    <t>2-42</t>
  </si>
  <si>
    <t>2-43</t>
  </si>
  <si>
    <t xml:space="preserve">・NULLを含む項目との計算式の場合、計算結果として何を出力すべきか定義する
（例：NULLのまま、or,NULLを0として変換の上、計算、など）
※DBレイアウト上、NULL項目でなくても、OUTERJOINによりNULL化することも考慮に入れること。（例：前期比などの計算項目で、前期がない場合。）
</t>
    <phoneticPr fontId="2"/>
  </si>
  <si>
    <t>2-44</t>
  </si>
  <si>
    <t xml:space="preserve">・計算式に文字列のDB項目が含まれていないことを確認する。
・計算式を定義する場合は、そこに含める項目がCHARおよびVARCHARでないことを確認する。
</t>
    <phoneticPr fontId="2"/>
  </si>
  <si>
    <t>2-45</t>
  </si>
  <si>
    <t>バッチ</t>
    <phoneticPr fontId="2"/>
  </si>
  <si>
    <t xml:space="preserve">・パラメータによって、実行結果が正しくDBに反映されることを定義
</t>
    <phoneticPr fontId="2"/>
  </si>
  <si>
    <t>2-46</t>
  </si>
  <si>
    <t>抽出条件</t>
  </si>
  <si>
    <t xml:space="preserve">・抽出条件を確認する
</t>
    <phoneticPr fontId="2"/>
  </si>
  <si>
    <t>2-47</t>
  </si>
  <si>
    <t xml:space="preserve">・抽出条件の取得元が、概要書で指定されたテーブル・データ定義であるか確認する
</t>
    <phoneticPr fontId="2"/>
  </si>
  <si>
    <t>2-48</t>
  </si>
  <si>
    <t>2-49</t>
  </si>
  <si>
    <t>論理チェック</t>
    <rPh sb="0" eb="2">
      <t>ロンリ</t>
    </rPh>
    <phoneticPr fontId="2"/>
  </si>
  <si>
    <t xml:space="preserve">・不正な日付を取り込まないようにする。("00000000","99999999" etc)
</t>
    <rPh sb="1" eb="3">
      <t>フセイ</t>
    </rPh>
    <rPh sb="4" eb="6">
      <t>ヒヅケ</t>
    </rPh>
    <rPh sb="7" eb="8">
      <t>ト</t>
    </rPh>
    <rPh sb="9" eb="10">
      <t>コ</t>
    </rPh>
    <phoneticPr fontId="2"/>
  </si>
  <si>
    <t>2-50</t>
  </si>
  <si>
    <t>システムログ出力</t>
  </si>
  <si>
    <t xml:space="preserve">・システムログ出力
</t>
    <phoneticPr fontId="2"/>
  </si>
  <si>
    <t>2-51</t>
  </si>
  <si>
    <t>ジョブ</t>
  </si>
  <si>
    <t>2-52</t>
  </si>
  <si>
    <t>バッチ制御用
ステータスファイル</t>
    <rPh sb="3" eb="5">
      <t>セイギョ</t>
    </rPh>
    <rPh sb="5" eb="6">
      <t>ヨウ</t>
    </rPh>
    <phoneticPr fontId="2"/>
  </si>
  <si>
    <t xml:space="preserve">・ステータスファイルの配置タイミング、削除(移動)タイミングが正しいか確認する。
・ステータスファイルが存在しない場合の挙動を定義する。
・正常系で削除されるべきステータスファイルが異常系でも削除されるか確認する。
</t>
    <rPh sb="11" eb="13">
      <t>ハイチ</t>
    </rPh>
    <rPh sb="19" eb="21">
      <t>サクジョ</t>
    </rPh>
    <rPh sb="22" eb="24">
      <t>イドウ</t>
    </rPh>
    <rPh sb="52" eb="54">
      <t>ソンザイ</t>
    </rPh>
    <rPh sb="57" eb="59">
      <t>バアイ</t>
    </rPh>
    <rPh sb="60" eb="62">
      <t>キョドウ</t>
    </rPh>
    <rPh sb="63" eb="65">
      <t>テイギ</t>
    </rPh>
    <rPh sb="70" eb="72">
      <t>セイジョウ</t>
    </rPh>
    <rPh sb="72" eb="73">
      <t>ケイ</t>
    </rPh>
    <rPh sb="74" eb="76">
      <t>サクジョ</t>
    </rPh>
    <rPh sb="91" eb="93">
      <t>イジョウ</t>
    </rPh>
    <rPh sb="93" eb="94">
      <t>ケイ</t>
    </rPh>
    <rPh sb="96" eb="98">
      <t>サクジョ</t>
    </rPh>
    <rPh sb="102" eb="104">
      <t>カクニン</t>
    </rPh>
    <phoneticPr fontId="2"/>
  </si>
  <si>
    <t>2-53</t>
  </si>
  <si>
    <t>ファイルコピー処理</t>
    <rPh sb="7" eb="9">
      <t>ショリ</t>
    </rPh>
    <phoneticPr fontId="2"/>
  </si>
  <si>
    <t xml:space="preserve">ファイルコピー処理を含む機能の場合、
・コピー対象ファイルの抽出条件によってコピー先ディレクトリに同一ファイルが存在するケースの考慮が必要かどうか判断していること。
・原則はコピー先ディレクトリに同一ファイルが存在する前提で、存在した場合の処理（上書き、エラー、スキップ）を定義すること。
※「DBサーバ/File/File」ディレクトリの注意※
当ディレクトリには追加資料画面より添付されたファイルとRシート用テンプレートファイルが含まれる。
・添付されたファイル：新規作成された以降は更新されることがない
・Rシート用テンプレートファイルに：Rシートのリリース作業で更新されることがある
</t>
    <rPh sb="7" eb="9">
      <t>ショリ</t>
    </rPh>
    <rPh sb="10" eb="11">
      <t>フク</t>
    </rPh>
    <rPh sb="12" eb="14">
      <t>キノウ</t>
    </rPh>
    <rPh sb="15" eb="17">
      <t>バアイ</t>
    </rPh>
    <rPh sb="23" eb="25">
      <t>タイショウ</t>
    </rPh>
    <rPh sb="30" eb="32">
      <t>チュウシュツ</t>
    </rPh>
    <rPh sb="32" eb="34">
      <t>ジョウケン</t>
    </rPh>
    <rPh sb="41" eb="42">
      <t>サキ</t>
    </rPh>
    <rPh sb="49" eb="51">
      <t>ドウイツ</t>
    </rPh>
    <rPh sb="56" eb="58">
      <t>ソンザイ</t>
    </rPh>
    <rPh sb="64" eb="66">
      <t>コウリョ</t>
    </rPh>
    <rPh sb="67" eb="69">
      <t>ヒツヨウ</t>
    </rPh>
    <rPh sb="73" eb="75">
      <t>ハンダン</t>
    </rPh>
    <rPh sb="84" eb="86">
      <t>ゲンソク</t>
    </rPh>
    <rPh sb="90" eb="91">
      <t>サキ</t>
    </rPh>
    <rPh sb="98" eb="100">
      <t>ドウイツ</t>
    </rPh>
    <rPh sb="105" eb="107">
      <t>ソンザイ</t>
    </rPh>
    <rPh sb="109" eb="111">
      <t>ゼンテイ</t>
    </rPh>
    <rPh sb="113" eb="115">
      <t>ソンザイ</t>
    </rPh>
    <rPh sb="117" eb="119">
      <t>バアイ</t>
    </rPh>
    <rPh sb="120" eb="122">
      <t>ショリ</t>
    </rPh>
    <rPh sb="123" eb="125">
      <t>ウワガ</t>
    </rPh>
    <rPh sb="137" eb="139">
      <t>テイギ</t>
    </rPh>
    <rPh sb="171" eb="173">
      <t>チュウイ</t>
    </rPh>
    <rPh sb="175" eb="176">
      <t>トウ</t>
    </rPh>
    <rPh sb="184" eb="188">
      <t>ツイカシリョウ</t>
    </rPh>
    <rPh sb="188" eb="190">
      <t>ガメン</t>
    </rPh>
    <rPh sb="192" eb="194">
      <t>テンプ</t>
    </rPh>
    <rPh sb="206" eb="207">
      <t>ヨウ</t>
    </rPh>
    <rPh sb="218" eb="219">
      <t>フク</t>
    </rPh>
    <rPh sb="225" eb="227">
      <t>テンプ</t>
    </rPh>
    <rPh sb="235" eb="239">
      <t>シンキサクセイ</t>
    </rPh>
    <rPh sb="242" eb="244">
      <t>イコウ</t>
    </rPh>
    <rPh sb="245" eb="247">
      <t>コウシン</t>
    </rPh>
    <rPh sb="261" eb="262">
      <t>ヨウ</t>
    </rPh>
    <rPh sb="283" eb="285">
      <t>サギョウ</t>
    </rPh>
    <rPh sb="286" eb="288">
      <t>コウシン</t>
    </rPh>
    <phoneticPr fontId="2"/>
  </si>
  <si>
    <t>・コピー先に同一ファイルが存在することを考慮していない場合、存在した場合に意図しないエラーが発生してしまう。</t>
    <rPh sb="4" eb="5">
      <t>サキ</t>
    </rPh>
    <rPh sb="6" eb="8">
      <t>ドウイツ</t>
    </rPh>
    <rPh sb="13" eb="15">
      <t>ソンザイ</t>
    </rPh>
    <rPh sb="20" eb="22">
      <t>コウリョ</t>
    </rPh>
    <rPh sb="27" eb="29">
      <t>バアイ</t>
    </rPh>
    <rPh sb="30" eb="32">
      <t>ソンザイ</t>
    </rPh>
    <rPh sb="34" eb="36">
      <t>バアイ</t>
    </rPh>
    <rPh sb="37" eb="39">
      <t>イト</t>
    </rPh>
    <rPh sb="46" eb="48">
      <t>ハッセイ</t>
    </rPh>
    <phoneticPr fontId="2"/>
  </si>
  <si>
    <t>2-54</t>
  </si>
  <si>
    <t>エラーハンドリング</t>
    <phoneticPr fontId="61"/>
  </si>
  <si>
    <t>設定</t>
  </si>
  <si>
    <t xml:space="preserve">・設定が存在しない場合の定義
・設定値が不正な場合の定義
</t>
    <rPh sb="9" eb="11">
      <t>バアイ</t>
    </rPh>
    <rPh sb="12" eb="14">
      <t>テイギ</t>
    </rPh>
    <phoneticPr fontId="2"/>
  </si>
  <si>
    <t>2-55</t>
  </si>
  <si>
    <t>DB</t>
  </si>
  <si>
    <t xml:space="preserve">・マスターデータ等のDB内容の異常に対応しているか定義
</t>
    <phoneticPr fontId="2"/>
  </si>
  <si>
    <t>2-56</t>
  </si>
  <si>
    <t>2-57</t>
  </si>
  <si>
    <t>外部システム連携</t>
  </si>
  <si>
    <t xml:space="preserve">・外部システム連携がある場合、デバイス等の接続異常（アクセス不可）の場合にチェック処理があることを確認する
</t>
    <phoneticPr fontId="2"/>
  </si>
  <si>
    <t>2-58</t>
  </si>
  <si>
    <t>SQL</t>
  </si>
  <si>
    <t>結合条件</t>
  </si>
  <si>
    <t xml:space="preserve">・内部結合/外部結合の定義。
・内部結合の場合は、結合先データが存在することが前提として業務要件を満たすか定義
・外部結合の場合は、結合結果として、データ欠落が発生した場合に、何を出力すべきか定義。
（例：0で出力、or、空白で出力）
・主キーがことなるテーブル間での結合の際は複数レコード取得されることを考慮する。（要件の確認）
</t>
    <rPh sb="53" eb="55">
      <t>テイギ</t>
    </rPh>
    <rPh sb="119" eb="120">
      <t>シュ</t>
    </rPh>
    <rPh sb="131" eb="132">
      <t>カン</t>
    </rPh>
    <rPh sb="134" eb="136">
      <t>ケツゴウ</t>
    </rPh>
    <rPh sb="137" eb="138">
      <t>サイ</t>
    </rPh>
    <rPh sb="139" eb="141">
      <t>フクスウ</t>
    </rPh>
    <rPh sb="145" eb="147">
      <t>シュトク</t>
    </rPh>
    <rPh sb="153" eb="155">
      <t>コウリョ</t>
    </rPh>
    <rPh sb="159" eb="161">
      <t>ヨウケン</t>
    </rPh>
    <rPh sb="162" eb="164">
      <t>カクニン</t>
    </rPh>
    <phoneticPr fontId="2"/>
  </si>
  <si>
    <t>○</t>
    <phoneticPr fontId="2"/>
  </si>
  <si>
    <t>2-59</t>
  </si>
  <si>
    <t>結合条件
（基準期・基準年月）</t>
    <rPh sb="0" eb="4">
      <t>ケツゴウジョウケン</t>
    </rPh>
    <rPh sb="6" eb="9">
      <t>キジュンキ</t>
    </rPh>
    <rPh sb="10" eb="14">
      <t>キジュンネンゲツ</t>
    </rPh>
    <phoneticPr fontId="2"/>
  </si>
  <si>
    <t xml:space="preserve">償却関連テーブルは基準期がキーとなっており、基準年月をキーとするテーブルと結合する際には、基準年月が一意となるよう基準期内で最大年月などの条件を設定する必要あり。
</t>
    <phoneticPr fontId="2"/>
  </si>
  <si>
    <t>2-60</t>
  </si>
  <si>
    <t>結合条件
（処理ID）</t>
    <rPh sb="0" eb="4">
      <t>ケツゴウジョウケン</t>
    </rPh>
    <rPh sb="6" eb="8">
      <t>ショリ</t>
    </rPh>
    <phoneticPr fontId="2"/>
  </si>
  <si>
    <t xml:space="preserve">格付(査定)WFに関する対応を実施する際には、各種データ取扱時の抽出条件にキーとなる処理IDの条件を付与してあることを確認する。
</t>
    <rPh sb="0" eb="1">
      <t>カク</t>
    </rPh>
    <rPh sb="1" eb="2">
      <t>ヅケ</t>
    </rPh>
    <rPh sb="3" eb="5">
      <t>サテイ</t>
    </rPh>
    <rPh sb="9" eb="10">
      <t>カン</t>
    </rPh>
    <rPh sb="12" eb="14">
      <t>タイオウ</t>
    </rPh>
    <rPh sb="15" eb="17">
      <t>ジッシ</t>
    </rPh>
    <rPh sb="19" eb="20">
      <t>サイ</t>
    </rPh>
    <rPh sb="23" eb="25">
      <t>カクシュ</t>
    </rPh>
    <rPh sb="28" eb="30">
      <t>トリアツカイ</t>
    </rPh>
    <rPh sb="30" eb="31">
      <t>ジ</t>
    </rPh>
    <rPh sb="32" eb="34">
      <t>チュウシュツ</t>
    </rPh>
    <rPh sb="34" eb="36">
      <t>ジョウケン</t>
    </rPh>
    <rPh sb="42" eb="44">
      <t>ショリ</t>
    </rPh>
    <rPh sb="47" eb="49">
      <t>ジョウケン</t>
    </rPh>
    <rPh sb="50" eb="52">
      <t>フヨ</t>
    </rPh>
    <rPh sb="59" eb="61">
      <t>カクニン</t>
    </rPh>
    <phoneticPr fontId="2"/>
  </si>
  <si>
    <t>2-61</t>
  </si>
  <si>
    <t>テーブル変数</t>
    <rPh sb="4" eb="6">
      <t>ヘンスウ</t>
    </rPh>
    <phoneticPr fontId="2"/>
  </si>
  <si>
    <t xml:space="preserve">・テーブル変数を使用している場合は、多数行の使用がないこと。
</t>
    <rPh sb="5" eb="7">
      <t>ヘンスウ</t>
    </rPh>
    <rPh sb="8" eb="10">
      <t>シヨウ</t>
    </rPh>
    <rPh sb="14" eb="16">
      <t>バアイ</t>
    </rPh>
    <rPh sb="18" eb="20">
      <t>タスウ</t>
    </rPh>
    <rPh sb="20" eb="21">
      <t>ギョウ</t>
    </rPh>
    <rPh sb="22" eb="24">
      <t>シヨウ</t>
    </rPh>
    <phoneticPr fontId="2"/>
  </si>
  <si>
    <t xml:space="preserve">100行以上のデータで使用する可能性がある場合はパフォーマンスが落ちる懸念がある。
参考：https://msdn.microsoft.com/ja-jp/library/ms175010.aspx
</t>
    <rPh sb="35" eb="37">
      <t>ケネン</t>
    </rPh>
    <rPh sb="42" eb="44">
      <t>サンコウ</t>
    </rPh>
    <phoneticPr fontId="2"/>
  </si>
  <si>
    <t>ソート順</t>
    <rPh sb="3" eb="4">
      <t>ジュン</t>
    </rPh>
    <phoneticPr fontId="2"/>
  </si>
  <si>
    <t xml:space="preserve">・複数行を一覧形式で取得するクエリの場合は必ずソート順の仕様を明記していること。
・結果レコードが1行しか取得されない場合や、存在チェック等のクエリでソート指定がが不要な場合は不要な旨を明記する。
</t>
    <rPh sb="21" eb="22">
      <t>カナラ</t>
    </rPh>
    <rPh sb="26" eb="27">
      <t>ジュン</t>
    </rPh>
    <rPh sb="28" eb="30">
      <t>シヨウ</t>
    </rPh>
    <rPh sb="31" eb="33">
      <t>メイキ</t>
    </rPh>
    <rPh sb="42" eb="44">
      <t>ケッカ</t>
    </rPh>
    <rPh sb="78" eb="80">
      <t>シテイ</t>
    </rPh>
    <phoneticPr fontId="2"/>
  </si>
  <si>
    <t>ソート順が指定されていないと任意の順番で取得されてしまうため、環境によって異なる表示結果になる</t>
    <rPh sb="3" eb="4">
      <t>ジュン</t>
    </rPh>
    <rPh sb="5" eb="7">
      <t>シテイ</t>
    </rPh>
    <rPh sb="14" eb="16">
      <t>ニンイ</t>
    </rPh>
    <rPh sb="17" eb="19">
      <t>ジュンバン</t>
    </rPh>
    <rPh sb="20" eb="22">
      <t>シュトク</t>
    </rPh>
    <rPh sb="31" eb="33">
      <t>カンキョウ</t>
    </rPh>
    <rPh sb="37" eb="38">
      <t>コト</t>
    </rPh>
    <rPh sb="40" eb="44">
      <t>ヒョウジケッカ</t>
    </rPh>
    <phoneticPr fontId="2"/>
  </si>
  <si>
    <t>2-63</t>
  </si>
  <si>
    <t>抽出条件</t>
    <phoneticPr fontId="2"/>
  </si>
  <si>
    <t xml:space="preserve">・データ抽出を行う際、取得元のデータ構造を理解したうえで、抽出を行っていること。
</t>
    <rPh sb="4" eb="6">
      <t>チュウシュツ</t>
    </rPh>
    <rPh sb="7" eb="8">
      <t>オコナ</t>
    </rPh>
    <rPh sb="9" eb="10">
      <t>サイ</t>
    </rPh>
    <rPh sb="11" eb="13">
      <t>シュトク</t>
    </rPh>
    <rPh sb="13" eb="14">
      <t>モト</t>
    </rPh>
    <rPh sb="18" eb="20">
      <t>コウゾウ</t>
    </rPh>
    <rPh sb="21" eb="23">
      <t>リカイ</t>
    </rPh>
    <rPh sb="29" eb="31">
      <t>チュウシュツ</t>
    </rPh>
    <rPh sb="32" eb="33">
      <t>オコナ</t>
    </rPh>
    <phoneticPr fontId="2"/>
  </si>
  <si>
    <t xml:space="preserve">想定外の抽出結果となってしまう場合がある。本来1レコード取得すべきものが複数レコード取得されるなど。
RT-RT-45754：【不動産担保】取引事例一覧に同じ事例番号が２個表示される
</t>
    <rPh sb="0" eb="2">
      <t>ソウテイ</t>
    </rPh>
    <rPh sb="2" eb="3">
      <t>ガイ</t>
    </rPh>
    <rPh sb="4" eb="6">
      <t>チュウシュツ</t>
    </rPh>
    <rPh sb="6" eb="8">
      <t>ケッカ</t>
    </rPh>
    <rPh sb="15" eb="17">
      <t>バアイ</t>
    </rPh>
    <rPh sb="21" eb="23">
      <t>ホンライ</t>
    </rPh>
    <rPh sb="28" eb="30">
      <t>シュトク</t>
    </rPh>
    <rPh sb="36" eb="38">
      <t>フクスウ</t>
    </rPh>
    <rPh sb="42" eb="44">
      <t>シュトク</t>
    </rPh>
    <phoneticPr fontId="2"/>
  </si>
  <si>
    <t>2-64</t>
  </si>
  <si>
    <t>設定定義</t>
  </si>
  <si>
    <t xml:space="preserve">・設定ファイル作成時に環境情報（BANKRホスト名、対外システムホスト名、IPアドレス、アカウント）が含まれていないことを確認する。
これらの情報定義が必要な場合、共通のconfigファイルを使用する。
</t>
    <phoneticPr fontId="2"/>
  </si>
  <si>
    <t>2-65</t>
  </si>
  <si>
    <t>フォルダパス設定</t>
    <rPh sb="6" eb="8">
      <t>セッテイ</t>
    </rPh>
    <phoneticPr fontId="2"/>
  </si>
  <si>
    <t>・フォルダパス設定を行う際は、対象のフォルダパスがエクスプローラー等にてアクセスできることを確認する。</t>
    <rPh sb="7" eb="9">
      <t>セッテイ</t>
    </rPh>
    <rPh sb="10" eb="11">
      <t>オコナ</t>
    </rPh>
    <rPh sb="12" eb="13">
      <t>サイ</t>
    </rPh>
    <rPh sb="15" eb="17">
      <t>タイショウ</t>
    </rPh>
    <rPh sb="33" eb="34">
      <t>トウ</t>
    </rPh>
    <phoneticPr fontId="2"/>
  </si>
  <si>
    <t>フォルダ転送や出力でエラーが発生する可能性がある。</t>
    <rPh sb="4" eb="6">
      <t>テンソウ</t>
    </rPh>
    <rPh sb="7" eb="9">
      <t>シュツリョク</t>
    </rPh>
    <rPh sb="14" eb="16">
      <t>ハッセイ</t>
    </rPh>
    <rPh sb="18" eb="21">
      <t>カノウセイ</t>
    </rPh>
    <phoneticPr fontId="2"/>
  </si>
  <si>
    <t>2-66</t>
  </si>
  <si>
    <t>ナレッジ確認</t>
    <rPh sb="4" eb="6">
      <t>カクニン</t>
    </rPh>
    <phoneticPr fontId="2"/>
  </si>
  <si>
    <t>2-67</t>
  </si>
  <si>
    <t>業務</t>
  </si>
  <si>
    <t>自己査定</t>
  </si>
  <si>
    <t xml:space="preserve">・該当データを検索する際に、基準年月が「該当基準年月」か「最大基準年月」が考慮されていることを確認する
</t>
    <phoneticPr fontId="2"/>
  </si>
  <si>
    <t>2-68</t>
  </si>
  <si>
    <t>全般</t>
  </si>
  <si>
    <t xml:space="preserve">・カスタマイズをしている項目について、他の画面（バッチ、帳票、CSV）でも同一項目がないか確認をする。
</t>
    <phoneticPr fontId="2"/>
  </si>
  <si>
    <t>2-69</t>
  </si>
  <si>
    <t>テーブル定義</t>
    <rPh sb="4" eb="6">
      <t>テイギ</t>
    </rPh>
    <phoneticPr fontId="2"/>
  </si>
  <si>
    <t>リモート限定ユーザ
制限項目
※新BIS、信用リスク計量化以外の場合</t>
    <rPh sb="4" eb="6">
      <t>ゲンテイ</t>
    </rPh>
    <rPh sb="10" eb="12">
      <t>セイゲン</t>
    </rPh>
    <rPh sb="12" eb="14">
      <t>コウモク</t>
    </rPh>
    <phoneticPr fontId="2"/>
  </si>
  <si>
    <t xml:space="preserve">・テーブルに項目を追加する場合や新規テーブルを追加する場合は、個人情報保護対象項目かどうか確認の上、必要な場合はセルを赤く塗りつぶしていること。
・既存項目について修正前に赤いセルだったものが無断でセル色の変更が行われていないこと。
・新規テーブルに個人情報保護対象項目が含まれている場合は、テーブル定義書の「取得/更新時の注意点」にもコメントを追加していること。
</t>
    <rPh sb="6" eb="8">
      <t>コウモク</t>
    </rPh>
    <rPh sb="9" eb="11">
      <t>ツイカ</t>
    </rPh>
    <rPh sb="13" eb="15">
      <t>バアイ</t>
    </rPh>
    <rPh sb="16" eb="18">
      <t>シンキ</t>
    </rPh>
    <rPh sb="23" eb="25">
      <t>ツイカ</t>
    </rPh>
    <rPh sb="27" eb="29">
      <t>バアイ</t>
    </rPh>
    <rPh sb="31" eb="33">
      <t>コジン</t>
    </rPh>
    <rPh sb="33" eb="35">
      <t>ジョウホウ</t>
    </rPh>
    <rPh sb="35" eb="37">
      <t>ホゴ</t>
    </rPh>
    <rPh sb="37" eb="39">
      <t>タイショウ</t>
    </rPh>
    <rPh sb="39" eb="41">
      <t>コウモク</t>
    </rPh>
    <rPh sb="45" eb="47">
      <t>カクニン</t>
    </rPh>
    <rPh sb="48" eb="49">
      <t>ウエ</t>
    </rPh>
    <rPh sb="50" eb="52">
      <t>ヒツヨウ</t>
    </rPh>
    <rPh sb="53" eb="55">
      <t>バアイ</t>
    </rPh>
    <rPh sb="59" eb="60">
      <t>アカ</t>
    </rPh>
    <rPh sb="61" eb="62">
      <t>ヌ</t>
    </rPh>
    <rPh sb="118" eb="120">
      <t>シンキ</t>
    </rPh>
    <rPh sb="125" eb="127">
      <t>コジン</t>
    </rPh>
    <rPh sb="127" eb="129">
      <t>ジョウホウ</t>
    </rPh>
    <rPh sb="129" eb="133">
      <t>ホゴタイショウ</t>
    </rPh>
    <rPh sb="133" eb="135">
      <t>コウモク</t>
    </rPh>
    <rPh sb="136" eb="137">
      <t>フク</t>
    </rPh>
    <rPh sb="142" eb="144">
      <t>バアイ</t>
    </rPh>
    <rPh sb="150" eb="153">
      <t>テイギショ</t>
    </rPh>
    <rPh sb="173" eb="175">
      <t>ツイカ</t>
    </rPh>
    <phoneticPr fontId="2"/>
  </si>
  <si>
    <t>リモート限定ユーザ参照用ビューに個人情報保護対象の項目が含まれてしまうため、リモート限定ユーザにて個人情報が参照できてしまう。
※参考
PCM_customer.xls</t>
    <rPh sb="4" eb="6">
      <t>ゲンテイ</t>
    </rPh>
    <rPh sb="9" eb="11">
      <t>サンショウ</t>
    </rPh>
    <rPh sb="11" eb="12">
      <t>ヨウ</t>
    </rPh>
    <rPh sb="16" eb="18">
      <t>コジン</t>
    </rPh>
    <rPh sb="18" eb="20">
      <t>ジョウホウ</t>
    </rPh>
    <rPh sb="20" eb="24">
      <t>ホゴタイショウ</t>
    </rPh>
    <rPh sb="25" eb="27">
      <t>コウモク</t>
    </rPh>
    <rPh sb="28" eb="29">
      <t>フク</t>
    </rPh>
    <rPh sb="42" eb="44">
      <t>ゲンテイ</t>
    </rPh>
    <rPh sb="49" eb="51">
      <t>コジン</t>
    </rPh>
    <rPh sb="51" eb="53">
      <t>ジョウホウ</t>
    </rPh>
    <rPh sb="54" eb="56">
      <t>サンショウ</t>
    </rPh>
    <rPh sb="65" eb="67">
      <t>サンコウ</t>
    </rPh>
    <phoneticPr fontId="2"/>
  </si>
  <si>
    <t>2-70</t>
  </si>
  <si>
    <t>リモート限定ユーザ
参照用ビュー
※新BIS、信用リスク計量化の場合</t>
    <rPh sb="4" eb="6">
      <t>ゲンテイ</t>
    </rPh>
    <rPh sb="10" eb="12">
      <t>サンショウ</t>
    </rPh>
    <rPh sb="12" eb="13">
      <t>ヨウ</t>
    </rPh>
    <phoneticPr fontId="2"/>
  </si>
  <si>
    <t xml:space="preserve">・テーブルに項目を追加する場合は個人情報保護対象項目かどうか確認の上、対象項目の場合はリモート限定ユーザ参照用ビューに項目を追加する
・新規テーブルを作成する場合は個人情報保護対象項目が含まれるかどうか確認の上、対象項目以外が含まれる場合はリモート限定ユーザ参照用ビューも併せて新規作成する。
</t>
    <rPh sb="6" eb="8">
      <t>コウモク</t>
    </rPh>
    <rPh sb="9" eb="11">
      <t>ツイカ</t>
    </rPh>
    <rPh sb="13" eb="15">
      <t>バアイ</t>
    </rPh>
    <rPh sb="16" eb="18">
      <t>コジン</t>
    </rPh>
    <rPh sb="18" eb="20">
      <t>ジョウホウ</t>
    </rPh>
    <rPh sb="20" eb="24">
      <t>ホゴタイショウ</t>
    </rPh>
    <rPh sb="24" eb="26">
      <t>コウモク</t>
    </rPh>
    <rPh sb="30" eb="32">
      <t>カクニン</t>
    </rPh>
    <rPh sb="33" eb="34">
      <t>ウエ</t>
    </rPh>
    <rPh sb="35" eb="37">
      <t>タイショウ</t>
    </rPh>
    <rPh sb="37" eb="39">
      <t>コウモク</t>
    </rPh>
    <rPh sb="40" eb="42">
      <t>バアイ</t>
    </rPh>
    <rPh sb="47" eb="49">
      <t>ゲンテイ</t>
    </rPh>
    <rPh sb="52" eb="54">
      <t>サンショウ</t>
    </rPh>
    <rPh sb="54" eb="55">
      <t>ヨウ</t>
    </rPh>
    <rPh sb="59" eb="61">
      <t>コウモク</t>
    </rPh>
    <rPh sb="62" eb="64">
      <t>ツイカ</t>
    </rPh>
    <rPh sb="68" eb="70">
      <t>シンキ</t>
    </rPh>
    <rPh sb="75" eb="77">
      <t>サクセイ</t>
    </rPh>
    <rPh sb="79" eb="81">
      <t>バアイ</t>
    </rPh>
    <rPh sb="82" eb="84">
      <t>コジン</t>
    </rPh>
    <rPh sb="84" eb="86">
      <t>ジョウホウ</t>
    </rPh>
    <rPh sb="86" eb="90">
      <t>ホゴタイショウ</t>
    </rPh>
    <rPh sb="90" eb="92">
      <t>コウモク</t>
    </rPh>
    <rPh sb="93" eb="94">
      <t>フク</t>
    </rPh>
    <rPh sb="101" eb="103">
      <t>カクニン</t>
    </rPh>
    <rPh sb="104" eb="105">
      <t>ウエ</t>
    </rPh>
    <rPh sb="106" eb="108">
      <t>タイショウ</t>
    </rPh>
    <rPh sb="108" eb="110">
      <t>コウモク</t>
    </rPh>
    <rPh sb="110" eb="112">
      <t>イガイ</t>
    </rPh>
    <rPh sb="113" eb="114">
      <t>フク</t>
    </rPh>
    <rPh sb="117" eb="119">
      <t>バアイ</t>
    </rPh>
    <rPh sb="124" eb="126">
      <t>ゲンテイ</t>
    </rPh>
    <rPh sb="129" eb="131">
      <t>サンショウ</t>
    </rPh>
    <rPh sb="131" eb="132">
      <t>ヨウ</t>
    </rPh>
    <rPh sb="136" eb="137">
      <t>アワ</t>
    </rPh>
    <rPh sb="139" eb="143">
      <t>シンキサクセイ</t>
    </rPh>
    <phoneticPr fontId="2"/>
  </si>
  <si>
    <t>リモート限定ユーザ参照用ビューに変更が反映されないため、リモート限定ユーザにて追加項目が参照できない。</t>
    <rPh sb="4" eb="6">
      <t>ゲンテイ</t>
    </rPh>
    <rPh sb="9" eb="11">
      <t>サンショウ</t>
    </rPh>
    <rPh sb="11" eb="12">
      <t>ヨウ</t>
    </rPh>
    <rPh sb="16" eb="18">
      <t>ヘンコウ</t>
    </rPh>
    <rPh sb="19" eb="21">
      <t>ハンエイ</t>
    </rPh>
    <rPh sb="32" eb="34">
      <t>ゲンテイ</t>
    </rPh>
    <rPh sb="39" eb="41">
      <t>ツイカ</t>
    </rPh>
    <rPh sb="41" eb="43">
      <t>コウモク</t>
    </rPh>
    <rPh sb="44" eb="46">
      <t>サンショウ</t>
    </rPh>
    <phoneticPr fontId="2"/>
  </si>
  <si>
    <t>2-71</t>
  </si>
  <si>
    <t>その他</t>
  </si>
  <si>
    <t>セキュリティログ</t>
  </si>
  <si>
    <t xml:space="preserve">・セキュリティログに反映されることを定義
</t>
    <phoneticPr fontId="2"/>
  </si>
  <si>
    <t>2-72</t>
  </si>
  <si>
    <t>ファイルダウンロード</t>
  </si>
  <si>
    <t xml:space="preserve">・ファイルダウンロード時、ブラウザから開く場合のファイルパスが218文字以上になっていないことを確認する。
</t>
    <phoneticPr fontId="2"/>
  </si>
  <si>
    <t>2-73</t>
  </si>
  <si>
    <t>2-74</t>
  </si>
  <si>
    <t>ファイル読み込み処理</t>
    <rPh sb="4" eb="5">
      <t>ヨ</t>
    </rPh>
    <rPh sb="6" eb="7">
      <t>コ</t>
    </rPh>
    <rPh sb="8" eb="10">
      <t>ショリ</t>
    </rPh>
    <phoneticPr fontId="2"/>
  </si>
  <si>
    <t>・対象のファイルが複数同時アクセスが発生するものかどうか判断の上、同時アクセスが必要な場合は共有モード（Read, ReadWrite, Write)でオープンする。</t>
    <rPh sb="1" eb="3">
      <t>タイショウ</t>
    </rPh>
    <rPh sb="9" eb="11">
      <t>フクスウ</t>
    </rPh>
    <rPh sb="11" eb="13">
      <t>ドウジ</t>
    </rPh>
    <rPh sb="18" eb="20">
      <t>ハッセイ</t>
    </rPh>
    <rPh sb="28" eb="30">
      <t>ハンダン</t>
    </rPh>
    <rPh sb="31" eb="32">
      <t>ウエ</t>
    </rPh>
    <rPh sb="33" eb="35">
      <t>ドウジ</t>
    </rPh>
    <rPh sb="40" eb="42">
      <t>ヒツヨウ</t>
    </rPh>
    <rPh sb="43" eb="45">
      <t>バアイ</t>
    </rPh>
    <rPh sb="46" eb="48">
      <t>キョウユウ</t>
    </rPh>
    <phoneticPr fontId="2"/>
  </si>
  <si>
    <t>2-75</t>
  </si>
  <si>
    <t>購入モジュール間連携</t>
    <rPh sb="0" eb="2">
      <t>コウニュウ</t>
    </rPh>
    <rPh sb="7" eb="8">
      <t>カン</t>
    </rPh>
    <rPh sb="8" eb="10">
      <t>レンケイ</t>
    </rPh>
    <phoneticPr fontId="2"/>
  </si>
  <si>
    <t>・パッケージモジュールを修正する場合、モジュール間での連携に関わる処理があれば、購入フラグを考慮していることを確認する。
例として営業支援のネタ情報と電子稟議の融資申込受付の連携時など。</t>
    <rPh sb="55" eb="57">
      <t>カクニン</t>
    </rPh>
    <rPh sb="65" eb="67">
      <t>エイギョウ</t>
    </rPh>
    <rPh sb="67" eb="69">
      <t>シエン</t>
    </rPh>
    <rPh sb="75" eb="77">
      <t>デンシ</t>
    </rPh>
    <rPh sb="77" eb="79">
      <t>リンギ</t>
    </rPh>
    <phoneticPr fontId="2"/>
  </si>
  <si>
    <t>連携先のモジュールが未購入の場合、連携先のテーブルを呼び出した際にエラーが発生する。</t>
    <rPh sb="2" eb="3">
      <t>サキ</t>
    </rPh>
    <rPh sb="10" eb="13">
      <t>ミコウニュウ</t>
    </rPh>
    <rPh sb="14" eb="16">
      <t>バアイ</t>
    </rPh>
    <rPh sb="17" eb="19">
      <t>レンケイ</t>
    </rPh>
    <rPh sb="19" eb="20">
      <t>サキ</t>
    </rPh>
    <rPh sb="26" eb="27">
      <t>ヨ</t>
    </rPh>
    <rPh sb="28" eb="29">
      <t>ダ</t>
    </rPh>
    <rPh sb="31" eb="32">
      <t>サイ</t>
    </rPh>
    <rPh sb="37" eb="39">
      <t>ハッセイ</t>
    </rPh>
    <phoneticPr fontId="2"/>
  </si>
  <si>
    <t>2-76</t>
  </si>
  <si>
    <t>ドキュメントの背景色・フォントの変更履歴</t>
    <rPh sb="7" eb="10">
      <t>ハイケイショク</t>
    </rPh>
    <rPh sb="16" eb="18">
      <t>ヘンコウ</t>
    </rPh>
    <rPh sb="18" eb="20">
      <t>リレキ</t>
    </rPh>
    <phoneticPr fontId="2"/>
  </si>
  <si>
    <t>・worldファイルでは全ページの文字を黒にして、修正内容のみ赤になっていることを確認する。
・excelファイルでは修正対象シートのみ、修正内容以外は背景色は無色、フォントスタイルは標準になっていることを確認する。</t>
    <rPh sb="41" eb="43">
      <t>カクニン</t>
    </rPh>
    <rPh sb="103" eb="105">
      <t>カクニン</t>
    </rPh>
    <phoneticPr fontId="2"/>
  </si>
  <si>
    <t>2-77</t>
  </si>
  <si>
    <t>データパッチ</t>
    <phoneticPr fontId="2"/>
  </si>
  <si>
    <t>データパッチを実施する場合、データパッチ作業の「前日以前」「当日」「翌日以降」のそれぞれについて、関連データの動的な更新パターンを考慮し、設計を行うこと。</t>
    <phoneticPr fontId="2"/>
  </si>
  <si>
    <t>データパッチすべきデータが、対象データから漏れる可能性がある。</t>
    <rPh sb="14" eb="16">
      <t>タイショウ</t>
    </rPh>
    <rPh sb="21" eb="22">
      <t>モ</t>
    </rPh>
    <rPh sb="24" eb="27">
      <t>カノウセイ</t>
    </rPh>
    <phoneticPr fontId="2"/>
  </si>
  <si>
    <t>設計書</t>
    <rPh sb="0" eb="3">
      <t>セッケイショ</t>
    </rPh>
    <phoneticPr fontId="2"/>
  </si>
  <si>
    <t>3-1</t>
    <phoneticPr fontId="2"/>
  </si>
  <si>
    <t>変更履歴</t>
    <rPh sb="0" eb="2">
      <t>ヘンコウ</t>
    </rPh>
    <rPh sb="2" eb="4">
      <t>リレキ</t>
    </rPh>
    <phoneticPr fontId="2"/>
  </si>
  <si>
    <t>3-2</t>
    <phoneticPr fontId="2"/>
  </si>
  <si>
    <t>対応漏れ確認</t>
    <rPh sb="0" eb="2">
      <t>タイオウ</t>
    </rPh>
    <rPh sb="2" eb="3">
      <t>モ</t>
    </rPh>
    <rPh sb="4" eb="6">
      <t>カクニン</t>
    </rPh>
    <phoneticPr fontId="61"/>
  </si>
  <si>
    <t>・修正対象の一覧から設計書の作成が完了した時点で、一覧と設計書を突合し 、抜け漏れが無いことを確認する。
・実装フェーズに移る前に1項目の確認を作業者・再鑑者の2名以上の体制で必ず実施し、完了させること。</t>
    <rPh sb="54" eb="56">
      <t>ジッソウ</t>
    </rPh>
    <rPh sb="61" eb="62">
      <t>ウツ</t>
    </rPh>
    <rPh sb="63" eb="64">
      <t>マエ</t>
    </rPh>
    <rPh sb="66" eb="67">
      <t>コウ</t>
    </rPh>
    <rPh sb="67" eb="68">
      <t>メ</t>
    </rPh>
    <rPh sb="72" eb="75">
      <t>サギョウシャ</t>
    </rPh>
    <rPh sb="76" eb="78">
      <t>サイカン</t>
    </rPh>
    <rPh sb="78" eb="79">
      <t>シャ</t>
    </rPh>
    <rPh sb="81" eb="82">
      <t>メイ</t>
    </rPh>
    <rPh sb="82" eb="84">
      <t>イジョウ</t>
    </rPh>
    <rPh sb="85" eb="87">
      <t>タイセイ</t>
    </rPh>
    <rPh sb="88" eb="89">
      <t>カナラ</t>
    </rPh>
    <rPh sb="90" eb="92">
      <t>ジッシ</t>
    </rPh>
    <phoneticPr fontId="61"/>
  </si>
  <si>
    <t>対応漏れを検知できない可能性がある。</t>
    <rPh sb="0" eb="2">
      <t>タイオウ</t>
    </rPh>
    <rPh sb="2" eb="3">
      <t>モ</t>
    </rPh>
    <rPh sb="5" eb="7">
      <t>ケンチ</t>
    </rPh>
    <rPh sb="11" eb="14">
      <t>カノウセイ</t>
    </rPh>
    <phoneticPr fontId="61"/>
  </si>
  <si>
    <t>日付</t>
    <rPh sb="0" eb="2">
      <t>ヒヅケ</t>
    </rPh>
    <phoneticPr fontId="3"/>
  </si>
  <si>
    <t>担当</t>
    <rPh sb="0" eb="2">
      <t>タントウ</t>
    </rPh>
    <phoneticPr fontId="3"/>
  </si>
  <si>
    <t>案件番号／案件名</t>
    <rPh sb="0" eb="1">
      <t>アン</t>
    </rPh>
    <rPh sb="1" eb="2">
      <t>ケン</t>
    </rPh>
    <rPh sb="2" eb="4">
      <t>バンゴウ</t>
    </rPh>
    <rPh sb="5" eb="7">
      <t>アンケン</t>
    </rPh>
    <rPh sb="7" eb="8">
      <t>メイ</t>
    </rPh>
    <phoneticPr fontId="3"/>
  </si>
  <si>
    <t>開発</t>
    <rPh sb="0" eb="2">
      <t>カイハツ</t>
    </rPh>
    <phoneticPr fontId="11"/>
  </si>
  <si>
    <t>作成</t>
    <rPh sb="0" eb="2">
      <t>サクセイ</t>
    </rPh>
    <phoneticPr fontId="11"/>
  </si>
  <si>
    <t>検証</t>
    <rPh sb="0" eb="2">
      <t>ケンショウ</t>
    </rPh>
    <phoneticPr fontId="11"/>
  </si>
  <si>
    <t>品川</t>
    <rPh sb="0" eb="1">
      <t>シナ</t>
    </rPh>
    <rPh sb="1" eb="2">
      <t>ガワ</t>
    </rPh>
    <phoneticPr fontId="3"/>
  </si>
  <si>
    <t>検証1</t>
    <rPh sb="0" eb="2">
      <t>ケンショウ</t>
    </rPh>
    <phoneticPr fontId="11"/>
  </si>
  <si>
    <t>検証2</t>
    <rPh sb="0" eb="2">
      <t>ケンショウ</t>
    </rPh>
    <phoneticPr fontId="11"/>
  </si>
  <si>
    <t>前提</t>
    <rPh sb="0" eb="2">
      <t>ゼンテイ</t>
    </rPh>
    <phoneticPr fontId="3"/>
  </si>
  <si>
    <t>1-1</t>
    <phoneticPr fontId="9"/>
  </si>
  <si>
    <t>テスト環境</t>
    <rPh sb="3" eb="5">
      <t>カンキョウ</t>
    </rPh>
    <phoneticPr fontId="5"/>
  </si>
  <si>
    <t xml:space="preserve">・テスト環境に各銀行のVSSの最新状態が反映されていること。
</t>
    <rPh sb="4" eb="6">
      <t>カンキョウ</t>
    </rPh>
    <rPh sb="7" eb="10">
      <t>カクギンコウ</t>
    </rPh>
    <rPh sb="15" eb="17">
      <t>サイシン</t>
    </rPh>
    <rPh sb="17" eb="19">
      <t>ジョウタイ</t>
    </rPh>
    <rPh sb="20" eb="22">
      <t>ハンエイ</t>
    </rPh>
    <phoneticPr fontId="9"/>
  </si>
  <si>
    <t>最新の環境で実施しないと修正が正しいかどうかが判断つかなくなる。</t>
    <rPh sb="0" eb="2">
      <t>サイシン</t>
    </rPh>
    <rPh sb="3" eb="5">
      <t>カンキョウ</t>
    </rPh>
    <rPh sb="6" eb="8">
      <t>ジッシ</t>
    </rPh>
    <rPh sb="12" eb="14">
      <t>シュウセイ</t>
    </rPh>
    <rPh sb="15" eb="16">
      <t>タダ</t>
    </rPh>
    <rPh sb="23" eb="25">
      <t>ハンダン</t>
    </rPh>
    <phoneticPr fontId="9"/>
  </si>
  <si>
    <t>○</t>
  </si>
  <si>
    <t>規約</t>
    <rPh sb="0" eb="2">
      <t>キヤク</t>
    </rPh>
    <phoneticPr fontId="2"/>
  </si>
  <si>
    <t>Y</t>
    <phoneticPr fontId="21"/>
  </si>
  <si>
    <t>2-1</t>
    <phoneticPr fontId="9"/>
  </si>
  <si>
    <t>ステップ数</t>
    <rPh sb="4" eb="5">
      <t>スウ</t>
    </rPh>
    <phoneticPr fontId="21"/>
  </si>
  <si>
    <t xml:space="preserve">・iQMの「新規ステップ数」「修正ステップ数」についてのルールに沿って登録していること
・コメント行はカウントしない
・設定変更系作業(マスタデータ,設定定義(XML,config))はステップ数をカウントしない
</t>
    <rPh sb="32" eb="33">
      <t>ソ</t>
    </rPh>
    <rPh sb="35" eb="37">
      <t>トウロク</t>
    </rPh>
    <phoneticPr fontId="5"/>
  </si>
  <si>
    <t>N</t>
    <phoneticPr fontId="21"/>
  </si>
  <si>
    <t>オンコード</t>
    <phoneticPr fontId="21"/>
  </si>
  <si>
    <t>-</t>
    <phoneticPr fontId="21"/>
  </si>
  <si>
    <t>ヘッダーコメント</t>
  </si>
  <si>
    <t xml:space="preserve">・ヘッダーコメントを記述しているか確認
・変更履歴を記述しているか確認。
</t>
    <rPh sb="10" eb="12">
      <t>キジュツ</t>
    </rPh>
    <rPh sb="17" eb="19">
      <t>カクニン</t>
    </rPh>
    <phoneticPr fontId="5"/>
  </si>
  <si>
    <t xml:space="preserve">・レビュー指摘対応時、変更履歴の日付を更新しているか確認する。
</t>
    <rPh sb="5" eb="7">
      <t>シテキ</t>
    </rPh>
    <rPh sb="7" eb="9">
      <t>タイオウ</t>
    </rPh>
    <rPh sb="9" eb="10">
      <t>ジ</t>
    </rPh>
    <rPh sb="11" eb="13">
      <t>ヘンコウ</t>
    </rPh>
    <rPh sb="13" eb="15">
      <t>リレキ</t>
    </rPh>
    <rPh sb="16" eb="18">
      <t>ヒヅケ</t>
    </rPh>
    <rPh sb="19" eb="21">
      <t>コウシン</t>
    </rPh>
    <rPh sb="26" eb="28">
      <t>カクニン</t>
    </rPh>
    <phoneticPr fontId="5"/>
  </si>
  <si>
    <t xml:space="preserve">・コメントは保守性を意識して記載しているか確認する。C#だけでなく、SP、Agent、XMLもコメント付与対象。
（但し、エクセルツールにて自動生成するXMLは対象外。エクセルツールに修正履歴は記載する。）
</t>
    <rPh sb="6" eb="9">
      <t>ホシュセイ</t>
    </rPh>
    <rPh sb="10" eb="12">
      <t>イシキ</t>
    </rPh>
    <rPh sb="14" eb="16">
      <t>キサイ</t>
    </rPh>
    <rPh sb="21" eb="23">
      <t>カクニン</t>
    </rPh>
    <rPh sb="51" eb="53">
      <t>フヨ</t>
    </rPh>
    <rPh sb="53" eb="55">
      <t>タイショウ</t>
    </rPh>
    <rPh sb="58" eb="59">
      <t>タダ</t>
    </rPh>
    <rPh sb="70" eb="72">
      <t>ジドウ</t>
    </rPh>
    <rPh sb="72" eb="74">
      <t>セイセイ</t>
    </rPh>
    <rPh sb="80" eb="83">
      <t>タイショウガイ</t>
    </rPh>
    <rPh sb="92" eb="94">
      <t>シュウセイ</t>
    </rPh>
    <rPh sb="94" eb="96">
      <t>リレキ</t>
    </rPh>
    <rPh sb="97" eb="99">
      <t>キサイ</t>
    </rPh>
    <phoneticPr fontId="5"/>
  </si>
  <si>
    <t>名称</t>
    <rPh sb="0" eb="2">
      <t>メイショウ</t>
    </rPh>
    <phoneticPr fontId="5"/>
  </si>
  <si>
    <t xml:space="preserve">・プログラムの名称と内部の名称の記述が合致していること
</t>
    <rPh sb="7" eb="9">
      <t>メイショウ</t>
    </rPh>
    <rPh sb="10" eb="12">
      <t>ナイブ</t>
    </rPh>
    <rPh sb="13" eb="15">
      <t>メイショウ</t>
    </rPh>
    <rPh sb="16" eb="18">
      <t>キジュツ</t>
    </rPh>
    <rPh sb="19" eb="21">
      <t>ガッチ</t>
    </rPh>
    <phoneticPr fontId="5"/>
  </si>
  <si>
    <t>変更対象</t>
  </si>
  <si>
    <t xml:space="preserve">・文言変更対象箇所が、すべて修正されていること。&lt;修正前文言をgrepして変更前文言が出力されないことを確認&gt;
※注釈：文言変更箇所が多い場合は、設計書を紙で出力しマーキングを行いながら、修正確認を実施する。）
</t>
    <rPh sb="1" eb="3">
      <t>モンゴン</t>
    </rPh>
    <rPh sb="3" eb="5">
      <t>ヘンコウ</t>
    </rPh>
    <rPh sb="5" eb="7">
      <t>タイショウ</t>
    </rPh>
    <rPh sb="7" eb="9">
      <t>カショ</t>
    </rPh>
    <rPh sb="14" eb="16">
      <t>シュウセイ</t>
    </rPh>
    <rPh sb="25" eb="27">
      <t>シュウセイ</t>
    </rPh>
    <rPh sb="27" eb="28">
      <t>マエ</t>
    </rPh>
    <rPh sb="28" eb="30">
      <t>モンゴン</t>
    </rPh>
    <rPh sb="37" eb="39">
      <t>ヘンコウ</t>
    </rPh>
    <rPh sb="39" eb="40">
      <t>マエ</t>
    </rPh>
    <rPh sb="40" eb="42">
      <t>モンゴン</t>
    </rPh>
    <rPh sb="43" eb="45">
      <t>シュツリョク</t>
    </rPh>
    <rPh sb="52" eb="54">
      <t>カクニン</t>
    </rPh>
    <phoneticPr fontId="5"/>
  </si>
  <si>
    <t>デグレード</t>
  </si>
  <si>
    <t xml:space="preserve">・変更箇所が、今回の修正箇所のみであること。その他の部分には差分がないことを確認
</t>
    <rPh sb="1" eb="3">
      <t>ヘンコウ</t>
    </rPh>
    <rPh sb="3" eb="5">
      <t>カショ</t>
    </rPh>
    <rPh sb="7" eb="9">
      <t>コンカイ</t>
    </rPh>
    <rPh sb="10" eb="12">
      <t>シュウセイ</t>
    </rPh>
    <rPh sb="12" eb="14">
      <t>カショ</t>
    </rPh>
    <rPh sb="24" eb="25">
      <t>ホカ</t>
    </rPh>
    <rPh sb="26" eb="28">
      <t>ブブン</t>
    </rPh>
    <rPh sb="30" eb="32">
      <t>サブン</t>
    </rPh>
    <rPh sb="38" eb="40">
      <t>カクニン</t>
    </rPh>
    <phoneticPr fontId="5"/>
  </si>
  <si>
    <t>・バッチジョブの変更がある場合、DROP処理（インポート用のスクリプト(.sql)内で、同一名ジョブを削除するSQL）に差異がないことを確認
（SQLServerの「DROP」で生成されるSQLでは、@job_idを元にしたDROP文が生成されるが、@job_idはサーバーによって異なる為、@job_nameを指定しジョブ名からジョブを削除する汎用SQLとなっている。）</t>
    <phoneticPr fontId="9"/>
  </si>
  <si>
    <t>SP, DTS</t>
    <phoneticPr fontId="2"/>
  </si>
  <si>
    <t>3-1</t>
    <phoneticPr fontId="3"/>
  </si>
  <si>
    <t>SQL</t>
    <phoneticPr fontId="3"/>
  </si>
  <si>
    <t>型変換 (Cast)</t>
    <rPh sb="0" eb="1">
      <t>カタ</t>
    </rPh>
    <rPh sb="1" eb="3">
      <t>ヘンカン</t>
    </rPh>
    <phoneticPr fontId="3"/>
  </si>
  <si>
    <t xml:space="preserve">適切にCastを実装していること
・文字列項目の数値は明示的にCastする。暗黙はint型へのCastとなるため23億以上扱えない。
・金額項目を int型 へcastしない。23億以上扱えなくなる。
</t>
    <rPh sb="0" eb="2">
      <t>テキセツ</t>
    </rPh>
    <rPh sb="8" eb="10">
      <t>ジッソウ</t>
    </rPh>
    <rPh sb="18" eb="21">
      <t>モジレツ</t>
    </rPh>
    <rPh sb="21" eb="23">
      <t>コウモク</t>
    </rPh>
    <rPh sb="24" eb="26">
      <t>スウチ</t>
    </rPh>
    <rPh sb="27" eb="30">
      <t>メイジテキ</t>
    </rPh>
    <rPh sb="38" eb="40">
      <t>アンモク</t>
    </rPh>
    <rPh sb="44" eb="45">
      <t>ガタ</t>
    </rPh>
    <rPh sb="58" eb="61">
      <t>オクイジョウ</t>
    </rPh>
    <rPh sb="61" eb="62">
      <t>アツカ</t>
    </rPh>
    <rPh sb="68" eb="70">
      <t>キンガク</t>
    </rPh>
    <rPh sb="70" eb="72">
      <t>コウモク</t>
    </rPh>
    <rPh sb="77" eb="78">
      <t>ガタ</t>
    </rPh>
    <rPh sb="90" eb="91">
      <t>オク</t>
    </rPh>
    <rPh sb="91" eb="93">
      <t>イジョウ</t>
    </rPh>
    <rPh sb="93" eb="94">
      <t>アツカ</t>
    </rPh>
    <phoneticPr fontId="3"/>
  </si>
  <si>
    <t>3-2</t>
  </si>
  <si>
    <t>文字列の数値変換</t>
    <rPh sb="0" eb="3">
      <t>モジレツ</t>
    </rPh>
    <rPh sb="4" eb="6">
      <t>スウチ</t>
    </rPh>
    <rPh sb="6" eb="8">
      <t>ヘンカン</t>
    </rPh>
    <phoneticPr fontId="21"/>
  </si>
  <si>
    <t xml:space="preserve">文字列型に格納された数字を変換する場合は適切な型にて型変換する。 Intは23億、Moneyは97兆。
</t>
    <rPh sb="0" eb="3">
      <t>モジレツ</t>
    </rPh>
    <rPh sb="3" eb="4">
      <t>ガタ</t>
    </rPh>
    <rPh sb="5" eb="7">
      <t>カクノウ</t>
    </rPh>
    <rPh sb="10" eb="12">
      <t>スウジ</t>
    </rPh>
    <rPh sb="13" eb="15">
      <t>ヘンカン</t>
    </rPh>
    <rPh sb="17" eb="19">
      <t>バアイ</t>
    </rPh>
    <rPh sb="20" eb="22">
      <t>テキセツ</t>
    </rPh>
    <rPh sb="23" eb="24">
      <t>カタ</t>
    </rPh>
    <rPh sb="26" eb="27">
      <t>カタ</t>
    </rPh>
    <rPh sb="27" eb="29">
      <t>ヘンカン</t>
    </rPh>
    <rPh sb="39" eb="40">
      <t>オク</t>
    </rPh>
    <rPh sb="49" eb="50">
      <t>チョウ</t>
    </rPh>
    <phoneticPr fontId="21"/>
  </si>
  <si>
    <t>3-3</t>
  </si>
  <si>
    <t>文字列の日付変換</t>
    <rPh sb="0" eb="3">
      <t>モジレツ</t>
    </rPh>
    <rPh sb="4" eb="6">
      <t>ヒヅケ</t>
    </rPh>
    <rPh sb="6" eb="8">
      <t>ヘンカン</t>
    </rPh>
    <phoneticPr fontId="21"/>
  </si>
  <si>
    <t xml:space="preserve">文字列型に格納された日付を日付変換する場合に1753年以前のデータはエラーになる。
1753年以前のデータ混入を前提とした処理で実装する。
</t>
    <rPh sb="0" eb="3">
      <t>モジレツ</t>
    </rPh>
    <rPh sb="3" eb="4">
      <t>ガタ</t>
    </rPh>
    <rPh sb="5" eb="7">
      <t>カクノウ</t>
    </rPh>
    <rPh sb="10" eb="12">
      <t>ヒヅケ</t>
    </rPh>
    <rPh sb="13" eb="15">
      <t>ヒヅケ</t>
    </rPh>
    <rPh sb="15" eb="17">
      <t>ヘンカン</t>
    </rPh>
    <rPh sb="19" eb="21">
      <t>バアイ</t>
    </rPh>
    <rPh sb="26" eb="27">
      <t>ネン</t>
    </rPh>
    <rPh sb="27" eb="29">
      <t>イゼン</t>
    </rPh>
    <rPh sb="46" eb="47">
      <t>ネン</t>
    </rPh>
    <rPh sb="47" eb="49">
      <t>イゼン</t>
    </rPh>
    <rPh sb="53" eb="55">
      <t>コンニュウ</t>
    </rPh>
    <rPh sb="56" eb="58">
      <t>ゼンテイ</t>
    </rPh>
    <rPh sb="61" eb="63">
      <t>ショリ</t>
    </rPh>
    <rPh sb="64" eb="66">
      <t>ジッソウ</t>
    </rPh>
    <phoneticPr fontId="21"/>
  </si>
  <si>
    <t>3-4</t>
  </si>
  <si>
    <t>dirty read</t>
    <phoneticPr fontId="21"/>
  </si>
  <si>
    <t xml:space="preserve">select 実装時、影響がないことを確認の上、dirty readを使用すること。
・参照系SQLで複数画面から呼ばれかつ、参照するテーブルに対して他画面で更新処理が行われる場合がある際にはREAD UNCOMMITTEDを付与する。
</t>
    <rPh sb="7" eb="9">
      <t>ジッソウ</t>
    </rPh>
    <rPh sb="9" eb="10">
      <t>ジ</t>
    </rPh>
    <rPh sb="11" eb="13">
      <t>エイキョウ</t>
    </rPh>
    <rPh sb="19" eb="21">
      <t>カクニン</t>
    </rPh>
    <rPh sb="22" eb="23">
      <t>ウエ</t>
    </rPh>
    <rPh sb="35" eb="37">
      <t>シヨウ</t>
    </rPh>
    <phoneticPr fontId="21"/>
  </si>
  <si>
    <t>3-5</t>
  </si>
  <si>
    <t>order</t>
    <phoneticPr fontId="2"/>
  </si>
  <si>
    <t>3-6</t>
  </si>
  <si>
    <t>UNION</t>
  </si>
  <si>
    <t xml:space="preserve">・UNION もしくは UNION ALL で同一レコードのテストデータが存在していることを確認
</t>
    <rPh sb="23" eb="25">
      <t>ドウイツ</t>
    </rPh>
    <rPh sb="37" eb="39">
      <t>ソンザイ</t>
    </rPh>
    <phoneticPr fontId="5"/>
  </si>
  <si>
    <t>3-7</t>
  </si>
  <si>
    <t>・UNION もしくは UNION ALL を適切に実装出来ていること</t>
    <rPh sb="23" eb="25">
      <t>テキセツ</t>
    </rPh>
    <rPh sb="26" eb="28">
      <t>ジッソウ</t>
    </rPh>
    <rPh sb="28" eb="30">
      <t>デキ</t>
    </rPh>
    <phoneticPr fontId="5"/>
  </si>
  <si>
    <t>重複行が存在しないデータの結合なのに、UNIONを指定すると、パフォーマンス劣化の原因となる。
詳細はRT-RT-38729参照</t>
    <rPh sb="0" eb="2">
      <t>チョウフク</t>
    </rPh>
    <rPh sb="2" eb="3">
      <t>ギョウ</t>
    </rPh>
    <rPh sb="4" eb="6">
      <t>ソンザイ</t>
    </rPh>
    <rPh sb="13" eb="15">
      <t>ケツゴウ</t>
    </rPh>
    <rPh sb="25" eb="27">
      <t>シテイ</t>
    </rPh>
    <rPh sb="38" eb="40">
      <t>レッカ</t>
    </rPh>
    <rPh sb="41" eb="43">
      <t>ゲンイン</t>
    </rPh>
    <phoneticPr fontId="21"/>
  </si>
  <si>
    <t>3-8</t>
  </si>
  <si>
    <t>結合 inner join</t>
    <rPh sb="0" eb="2">
      <t>ケツゴウ</t>
    </rPh>
    <phoneticPr fontId="21"/>
  </si>
  <si>
    <t xml:space="preserve">inner join を適切に実装できていること。
ON句の項目がインデックス項目であることを確認すること。
</t>
    <rPh sb="12" eb="14">
      <t>テキセツ</t>
    </rPh>
    <rPh sb="15" eb="17">
      <t>ジッソウ</t>
    </rPh>
    <rPh sb="28" eb="29">
      <t>ク</t>
    </rPh>
    <rPh sb="30" eb="32">
      <t>コウモク</t>
    </rPh>
    <rPh sb="39" eb="41">
      <t>コウモク</t>
    </rPh>
    <rPh sb="47" eb="49">
      <t>カクニン</t>
    </rPh>
    <phoneticPr fontId="2"/>
  </si>
  <si>
    <t>3-9</t>
  </si>
  <si>
    <t>WHERE</t>
    <phoneticPr fontId="21"/>
  </si>
  <si>
    <t>WHERE句に記載するテーブル項目は必ずキー項目、もしくはインデックス項目であること。履歴項目だけでなくマスタ項目も必須対応。
ON句に記載するテーブル項目についても同様にインデックス項目であることを確認すること。</t>
    <rPh sb="5" eb="6">
      <t>ク</t>
    </rPh>
    <rPh sb="7" eb="9">
      <t>キサイ</t>
    </rPh>
    <rPh sb="15" eb="17">
      <t>コウモク</t>
    </rPh>
    <rPh sb="18" eb="19">
      <t>カナラ</t>
    </rPh>
    <rPh sb="22" eb="24">
      <t>コウモク</t>
    </rPh>
    <rPh sb="35" eb="37">
      <t>コウモク</t>
    </rPh>
    <rPh sb="43" eb="45">
      <t>リレキ</t>
    </rPh>
    <rPh sb="45" eb="47">
      <t>コウモク</t>
    </rPh>
    <rPh sb="55" eb="57">
      <t>コウモク</t>
    </rPh>
    <rPh sb="58" eb="60">
      <t>ヒッス</t>
    </rPh>
    <rPh sb="60" eb="62">
      <t>タイオウ</t>
    </rPh>
    <rPh sb="66" eb="67">
      <t>ク</t>
    </rPh>
    <rPh sb="68" eb="70">
      <t>キサイ</t>
    </rPh>
    <rPh sb="76" eb="78">
      <t>コウモク</t>
    </rPh>
    <rPh sb="83" eb="85">
      <t>ドウヨウ</t>
    </rPh>
    <rPh sb="92" eb="94">
      <t>コウモク</t>
    </rPh>
    <rPh sb="100" eb="102">
      <t>カクニン</t>
    </rPh>
    <phoneticPr fontId="5"/>
  </si>
  <si>
    <t xml:space="preserve">キー順、インデックス項目を条件にしないと実行プランがオプティマイザ依存となりパフォーマンスが突然劣化する場合がある。
</t>
    <rPh sb="2" eb="3">
      <t>ジュン</t>
    </rPh>
    <rPh sb="10" eb="12">
      <t>コウモク</t>
    </rPh>
    <rPh sb="13" eb="15">
      <t>ジョウケン</t>
    </rPh>
    <rPh sb="20" eb="22">
      <t>ジッコウ</t>
    </rPh>
    <rPh sb="33" eb="35">
      <t>イゾン</t>
    </rPh>
    <rPh sb="46" eb="48">
      <t>トツゼン</t>
    </rPh>
    <rPh sb="48" eb="50">
      <t>レッカ</t>
    </rPh>
    <rPh sb="52" eb="54">
      <t>バアイ</t>
    </rPh>
    <phoneticPr fontId="21"/>
  </si>
  <si>
    <t>3-10</t>
  </si>
  <si>
    <t xml:space="preserve">WHERE句に記載するテーブル項目はインデックスの並び順で記載すること。
</t>
    <rPh sb="5" eb="6">
      <t>ク</t>
    </rPh>
    <rPh sb="7" eb="9">
      <t>キサイ</t>
    </rPh>
    <rPh sb="15" eb="17">
      <t>コウモク</t>
    </rPh>
    <rPh sb="25" eb="26">
      <t>ナラ</t>
    </rPh>
    <rPh sb="27" eb="28">
      <t>ジュン</t>
    </rPh>
    <rPh sb="29" eb="31">
      <t>キサイ</t>
    </rPh>
    <phoneticPr fontId="5"/>
  </si>
  <si>
    <t xml:space="preserve">キー順、インデックス並び順に記載していない場合、インデックスが効かない。パフォーマンスがでない。
</t>
    <rPh sb="2" eb="3">
      <t>ジュン</t>
    </rPh>
    <rPh sb="10" eb="11">
      <t>ナラ</t>
    </rPh>
    <rPh sb="12" eb="13">
      <t>ジュン</t>
    </rPh>
    <rPh sb="14" eb="16">
      <t>キサイ</t>
    </rPh>
    <rPh sb="21" eb="23">
      <t>バアイ</t>
    </rPh>
    <rPh sb="31" eb="32">
      <t>キ</t>
    </rPh>
    <phoneticPr fontId="21"/>
  </si>
  <si>
    <t>3-11</t>
  </si>
  <si>
    <t xml:space="preserve">・カラム追加の際には、カラムがどのように使われるのかを確認し、Indexを考慮すること
※基準日などを追加して検索に使用する場合にはIndexを付与すること
</t>
    <rPh sb="4" eb="6">
      <t>ツイカ</t>
    </rPh>
    <rPh sb="7" eb="8">
      <t>サイ</t>
    </rPh>
    <rPh sb="20" eb="21">
      <t>ツカ</t>
    </rPh>
    <rPh sb="27" eb="29">
      <t>カクニン</t>
    </rPh>
    <rPh sb="37" eb="39">
      <t>コウリョ</t>
    </rPh>
    <rPh sb="45" eb="47">
      <t>キジュン</t>
    </rPh>
    <rPh sb="47" eb="48">
      <t>ビ</t>
    </rPh>
    <rPh sb="51" eb="53">
      <t>ツイカ</t>
    </rPh>
    <rPh sb="55" eb="57">
      <t>ケンサク</t>
    </rPh>
    <rPh sb="58" eb="60">
      <t>シヨウ</t>
    </rPh>
    <rPh sb="62" eb="64">
      <t>バアイ</t>
    </rPh>
    <rPh sb="72" eb="74">
      <t>フヨ</t>
    </rPh>
    <phoneticPr fontId="5"/>
  </si>
  <si>
    <t>3-12</t>
  </si>
  <si>
    <t xml:space="preserve">・IN句よりもEXISTS句をなるべく使用するように考慮すること
</t>
    <rPh sb="3" eb="4">
      <t>ク</t>
    </rPh>
    <rPh sb="13" eb="14">
      <t>ク</t>
    </rPh>
    <rPh sb="19" eb="21">
      <t>シヨウ</t>
    </rPh>
    <rPh sb="26" eb="28">
      <t>コウリョ</t>
    </rPh>
    <phoneticPr fontId="5"/>
  </si>
  <si>
    <t xml:space="preserve">・複数行を一覧形式で取得するクエリの場合は必ずソート順の仕様を明記していること。
・結果レコードが1行しか取得されない場合や、存在チェック等のクエリでソート指定が不要な場合は不要な旨を明記する。
</t>
    <rPh sb="21" eb="22">
      <t>カナラ</t>
    </rPh>
    <rPh sb="26" eb="27">
      <t>ジュン</t>
    </rPh>
    <rPh sb="28" eb="30">
      <t>シヨウ</t>
    </rPh>
    <rPh sb="31" eb="33">
      <t>メイキ</t>
    </rPh>
    <rPh sb="42" eb="44">
      <t>ケッカ</t>
    </rPh>
    <rPh sb="78" eb="80">
      <t>シテイ</t>
    </rPh>
    <phoneticPr fontId="2"/>
  </si>
  <si>
    <t>ソート順が指定されていないと任意の順番で取得されてしまうため、環境によって異なる表示結果になる</t>
    <rPh sb="3" eb="4">
      <t>ジュン</t>
    </rPh>
    <rPh sb="5" eb="7">
      <t>シテイ</t>
    </rPh>
    <rPh sb="14" eb="16">
      <t>ニンイ</t>
    </rPh>
    <rPh sb="17" eb="19">
      <t>ジュンバン</t>
    </rPh>
    <rPh sb="20" eb="22">
      <t>シュトク</t>
    </rPh>
    <rPh sb="31" eb="33">
      <t>カンキョウ</t>
    </rPh>
    <rPh sb="37" eb="38">
      <t>コト</t>
    </rPh>
    <rPh sb="40" eb="44">
      <t>ヒョウジケッカ</t>
    </rPh>
    <phoneticPr fontId="3"/>
  </si>
  <si>
    <r>
      <t>・WHERE句に記載するカラムにインデックスおよび主キーが設定されているかを確認し、設定されていた場合、関数を利用していないこと。
　※以下の例では、USact_RecordDateにインデックスが設定されている。
　例）正　</t>
    </r>
    <r>
      <rPr>
        <sz val="9"/>
        <rFont val="Meiryo UI"/>
        <family val="3"/>
        <charset val="128"/>
      </rPr>
      <t>USact_RecordDate &lt; DateAdd(Month, -(PARTITIONLEFTMONTH),CONVERT(VARCHAR(8),PARAMTODAY, 112))</t>
    </r>
    <r>
      <rPr>
        <sz val="11"/>
        <rFont val="Meiryo UI"/>
        <family val="3"/>
        <charset val="128"/>
      </rPr>
      <t xml:space="preserve">
　　　　誤　</t>
    </r>
    <r>
      <rPr>
        <sz val="9"/>
        <rFont val="Meiryo UI"/>
        <family val="3"/>
        <charset val="128"/>
      </rPr>
      <t>Convert(VARCHAR(100), DateAdd(Month, PARTITIONLEFTMONTH,USact_RecordDate), 112) &lt; Convert(VARCHAR(100), PARAMTODAY, 112)</t>
    </r>
    <rPh sb="6" eb="7">
      <t>ク</t>
    </rPh>
    <rPh sb="8" eb="10">
      <t>キサイ</t>
    </rPh>
    <rPh sb="25" eb="26">
      <t>シュ</t>
    </rPh>
    <rPh sb="29" eb="31">
      <t>セッテイ</t>
    </rPh>
    <rPh sb="38" eb="40">
      <t>カクニン</t>
    </rPh>
    <rPh sb="42" eb="44">
      <t>セッテイ</t>
    </rPh>
    <rPh sb="49" eb="51">
      <t>バアイ</t>
    </rPh>
    <rPh sb="68" eb="70">
      <t>イカ</t>
    </rPh>
    <rPh sb="71" eb="72">
      <t>レイ</t>
    </rPh>
    <rPh sb="99" eb="101">
      <t>セッテイ</t>
    </rPh>
    <rPh sb="109" eb="110">
      <t>レイ</t>
    </rPh>
    <rPh sb="111" eb="112">
      <t>セイ</t>
    </rPh>
    <rPh sb="210" eb="211">
      <t>ゴ</t>
    </rPh>
    <phoneticPr fontId="3"/>
  </si>
  <si>
    <t>関数を使うとインデックスが効かないため、条件項目には関数をつかわない。</t>
    <phoneticPr fontId="3"/>
  </si>
  <si>
    <t>SP</t>
    <phoneticPr fontId="21"/>
  </si>
  <si>
    <t>条件分岐（Case）</t>
    <rPh sb="0" eb="2">
      <t>ジョウケン</t>
    </rPh>
    <rPh sb="2" eb="4">
      <t>ブンキ</t>
    </rPh>
    <phoneticPr fontId="21"/>
  </si>
  <si>
    <t xml:space="preserve">Case文を利用している場合、条件に合致しない場合の考慮（ELSEの設定）を実施していること
（ELSEが必要ない場合は、必要ない理由を記載）
</t>
    <phoneticPr fontId="21"/>
  </si>
  <si>
    <t>条件に合致しない値が連携された場合、NULLが返されてしまう。</t>
    <rPh sb="0" eb="2">
      <t>ジョウケン</t>
    </rPh>
    <rPh sb="3" eb="5">
      <t>ガッチ</t>
    </rPh>
    <rPh sb="8" eb="9">
      <t>アタイ</t>
    </rPh>
    <rPh sb="10" eb="12">
      <t>レンケイ</t>
    </rPh>
    <rPh sb="15" eb="17">
      <t>バアイ</t>
    </rPh>
    <rPh sb="23" eb="24">
      <t>カエ</t>
    </rPh>
    <phoneticPr fontId="21"/>
  </si>
  <si>
    <t>3-16</t>
  </si>
  <si>
    <t xml:space="preserve">Case文を利用している場合、極力全ての分岐のRETERN値の型を合わせること。合わせることができない場合は、暗黙的な型変換が発生した際にエラーとならないように実装すること。
</t>
    <rPh sb="15" eb="17">
      <t>キョクリョク</t>
    </rPh>
    <rPh sb="17" eb="18">
      <t>スベ</t>
    </rPh>
    <rPh sb="20" eb="22">
      <t>ブンキ</t>
    </rPh>
    <rPh sb="29" eb="30">
      <t>チ</t>
    </rPh>
    <rPh sb="31" eb="32">
      <t>カタ</t>
    </rPh>
    <rPh sb="33" eb="34">
      <t>ア</t>
    </rPh>
    <rPh sb="40" eb="41">
      <t>ア</t>
    </rPh>
    <rPh sb="51" eb="53">
      <t>バアイ</t>
    </rPh>
    <rPh sb="55" eb="58">
      <t>アンモクテキ</t>
    </rPh>
    <rPh sb="59" eb="60">
      <t>カタ</t>
    </rPh>
    <rPh sb="60" eb="62">
      <t>ヘンカン</t>
    </rPh>
    <rPh sb="63" eb="65">
      <t>ハッセイ</t>
    </rPh>
    <rPh sb="67" eb="68">
      <t>サイ</t>
    </rPh>
    <rPh sb="80" eb="82">
      <t>ジッソウ</t>
    </rPh>
    <phoneticPr fontId="21"/>
  </si>
  <si>
    <t>暗黙的な型変換(例：char⇒INT)が発生した場合に、変換エラーが発生する可能性がある。</t>
    <rPh sb="0" eb="3">
      <t>アンモクテキ</t>
    </rPh>
    <rPh sb="4" eb="5">
      <t>カタ</t>
    </rPh>
    <rPh sb="5" eb="7">
      <t>ヘンカン</t>
    </rPh>
    <rPh sb="8" eb="9">
      <t>レイ</t>
    </rPh>
    <rPh sb="20" eb="22">
      <t>ハッセイ</t>
    </rPh>
    <rPh sb="24" eb="26">
      <t>バアイ</t>
    </rPh>
    <rPh sb="28" eb="30">
      <t>ヘンカン</t>
    </rPh>
    <rPh sb="34" eb="36">
      <t>ハッセイ</t>
    </rPh>
    <rPh sb="38" eb="41">
      <t>カノウセイ</t>
    </rPh>
    <phoneticPr fontId="21"/>
  </si>
  <si>
    <t>3-17</t>
  </si>
  <si>
    <t>条件設定（基準年月）</t>
    <rPh sb="0" eb="2">
      <t>ジョウケン</t>
    </rPh>
    <rPh sb="2" eb="4">
      <t>セッテイ</t>
    </rPh>
    <rPh sb="5" eb="7">
      <t>キジュン</t>
    </rPh>
    <rPh sb="7" eb="9">
      <t>ネンゲツ</t>
    </rPh>
    <phoneticPr fontId="21"/>
  </si>
  <si>
    <t xml:space="preserve">・基準年月を含むテーブルに対し、SQLを作成した場合、基準年月が条件に含まれていること
　（基準年月を指定しない場合は、基準年月の指定が必要ないことを確認していること）
</t>
    <rPh sb="1" eb="3">
      <t>キジュン</t>
    </rPh>
    <rPh sb="3" eb="5">
      <t>ネンゲツ</t>
    </rPh>
    <rPh sb="6" eb="7">
      <t>フク</t>
    </rPh>
    <phoneticPr fontId="21"/>
  </si>
  <si>
    <t>対象外のデータまで取得、更新、削除の対象となってしまう。</t>
    <rPh sb="0" eb="2">
      <t>タイショウ</t>
    </rPh>
    <rPh sb="2" eb="3">
      <t>ガイ</t>
    </rPh>
    <rPh sb="9" eb="11">
      <t>シュトク</t>
    </rPh>
    <rPh sb="12" eb="14">
      <t>コウシン</t>
    </rPh>
    <rPh sb="15" eb="17">
      <t>サクジョ</t>
    </rPh>
    <rPh sb="18" eb="20">
      <t>タイショウ</t>
    </rPh>
    <phoneticPr fontId="21"/>
  </si>
  <si>
    <t>3-18</t>
  </si>
  <si>
    <t>一時テーブル</t>
    <rPh sb="0" eb="2">
      <t>イチジ</t>
    </rPh>
    <phoneticPr fontId="5"/>
  </si>
  <si>
    <t>3-19</t>
  </si>
  <si>
    <t xml:space="preserve">・SP内で使用する一時テーブル定義が正しいことを確認しているか。
テーブル変数(DECLARE @TempTbl TABLE)を使用するより、一時テーブル(CREATE TABLE #TempTbl)を使用した方が、ターンアラウンドタイムが大幅に改善されるケースが多い。
参考
RT-RT-09415 [パフォーマンス改善(案)]一時テーブルの宣言方法について
</t>
    <rPh sb="3" eb="4">
      <t>ナイ</t>
    </rPh>
    <rPh sb="5" eb="7">
      <t>シヨウ</t>
    </rPh>
    <rPh sb="9" eb="11">
      <t>イチジ</t>
    </rPh>
    <rPh sb="15" eb="17">
      <t>テイギ</t>
    </rPh>
    <rPh sb="18" eb="19">
      <t>タダ</t>
    </rPh>
    <rPh sb="24" eb="26">
      <t>カクニン</t>
    </rPh>
    <rPh sb="136" eb="138">
      <t>サンコウ</t>
    </rPh>
    <phoneticPr fontId="5"/>
  </si>
  <si>
    <t>3-20</t>
  </si>
  <si>
    <t xml:space="preserve">・一時テーブルに大量データ(100行以上)を挿入するとパフォーマンスが大幅に劣化する可能性がある。大量データが挿入されないことを確認しているか。
参考）
https://msdn.microsoft.com/ja-jp/library/ms175010.aspx
RT-RT-35694 過去データ削除パフォーマンスチューニング改善対応
</t>
    <rPh sb="1" eb="3">
      <t>イチジ</t>
    </rPh>
    <rPh sb="22" eb="24">
      <t>ソウニュウ</t>
    </rPh>
    <rPh sb="35" eb="37">
      <t>オオハバ</t>
    </rPh>
    <rPh sb="38" eb="40">
      <t>レッカ</t>
    </rPh>
    <rPh sb="49" eb="51">
      <t>タイリョウ</t>
    </rPh>
    <rPh sb="55" eb="57">
      <t>ソウニュウ</t>
    </rPh>
    <rPh sb="64" eb="66">
      <t>カクニン</t>
    </rPh>
    <rPh sb="73" eb="75">
      <t>サンコウ</t>
    </rPh>
    <phoneticPr fontId="5"/>
  </si>
  <si>
    <t>3-21</t>
  </si>
  <si>
    <t>キーによる抽出</t>
    <rPh sb="5" eb="7">
      <t>チュウシュツ</t>
    </rPh>
    <phoneticPr fontId="21"/>
  </si>
  <si>
    <t xml:space="preserve">キーによる抽出を行う場合は、条件分（WHERE）にすべてのキー情報が含まれていること
例：PCM_customerの場合は、店番、顧客番号、連結区分コードが含まれていること
</t>
    <rPh sb="5" eb="7">
      <t>チュウシュツ</t>
    </rPh>
    <rPh sb="8" eb="9">
      <t>オコナ</t>
    </rPh>
    <rPh sb="10" eb="12">
      <t>バアイ</t>
    </rPh>
    <rPh sb="14" eb="16">
      <t>ジョウケン</t>
    </rPh>
    <rPh sb="16" eb="17">
      <t>ブン</t>
    </rPh>
    <rPh sb="31" eb="33">
      <t>ジョウホウ</t>
    </rPh>
    <rPh sb="34" eb="35">
      <t>フク</t>
    </rPh>
    <rPh sb="43" eb="44">
      <t>レイ</t>
    </rPh>
    <rPh sb="58" eb="60">
      <t>バアイ</t>
    </rPh>
    <rPh sb="62" eb="64">
      <t>ミセバン</t>
    </rPh>
    <rPh sb="65" eb="67">
      <t>コキャク</t>
    </rPh>
    <rPh sb="67" eb="69">
      <t>バンゴウ</t>
    </rPh>
    <rPh sb="78" eb="79">
      <t>フク</t>
    </rPh>
    <phoneticPr fontId="21"/>
  </si>
  <si>
    <t>本来、1行のみ取得すべき情報が複数取得され、エラーとなる。</t>
    <rPh sb="0" eb="2">
      <t>ホンライ</t>
    </rPh>
    <rPh sb="4" eb="5">
      <t>ギョウ</t>
    </rPh>
    <rPh sb="7" eb="9">
      <t>シュトク</t>
    </rPh>
    <rPh sb="12" eb="14">
      <t>ジョウホウ</t>
    </rPh>
    <rPh sb="15" eb="17">
      <t>フクスウ</t>
    </rPh>
    <rPh sb="17" eb="19">
      <t>シュトク</t>
    </rPh>
    <phoneticPr fontId="21"/>
  </si>
  <si>
    <t>3-22</t>
  </si>
  <si>
    <t>カーソル原則禁止</t>
    <rPh sb="4" eb="6">
      <t>ゲンソク</t>
    </rPh>
    <rPh sb="6" eb="8">
      <t>キンシ</t>
    </rPh>
    <phoneticPr fontId="21"/>
  </si>
  <si>
    <t xml:space="preserve">・SQL実行結果が1件となる処理で、カーソルを使用していないこと
</t>
    <phoneticPr fontId="9"/>
  </si>
  <si>
    <t>3-23</t>
  </si>
  <si>
    <t>DB接続管理</t>
    <rPh sb="2" eb="4">
      <t>セツゾク</t>
    </rPh>
    <rPh sb="4" eb="6">
      <t>カンリ</t>
    </rPh>
    <phoneticPr fontId="21"/>
  </si>
  <si>
    <t>トランザクション管理</t>
    <rPh sb="8" eb="10">
      <t>カンリ</t>
    </rPh>
    <phoneticPr fontId="21"/>
  </si>
  <si>
    <t xml:space="preserve">オンラインにて複数テーブルを更新する際はトランザクション管理を実装していること。
</t>
    <rPh sb="7" eb="9">
      <t>フクスウ</t>
    </rPh>
    <rPh sb="14" eb="16">
      <t>コウシン</t>
    </rPh>
    <rPh sb="18" eb="19">
      <t>サイ</t>
    </rPh>
    <rPh sb="28" eb="30">
      <t>カンリ</t>
    </rPh>
    <rPh sb="31" eb="33">
      <t>ジッソウ</t>
    </rPh>
    <phoneticPr fontId="21"/>
  </si>
  <si>
    <t>3-24</t>
  </si>
  <si>
    <t>一覧系参照処理のデッドロック回避</t>
    <rPh sb="0" eb="3">
      <t>イチランケイ</t>
    </rPh>
    <rPh sb="3" eb="5">
      <t>サンショウ</t>
    </rPh>
    <rPh sb="5" eb="7">
      <t>ショリ</t>
    </rPh>
    <rPh sb="14" eb="16">
      <t>カイヒ</t>
    </rPh>
    <phoneticPr fontId="21"/>
  </si>
  <si>
    <t xml:space="preserve">データ量が多く参照するユーザー数も多いような画面においては、SELECTの際に"READ COMMITTED 分離レベル"を使用していることでデッドロックが発生してしまいパフォーマンスが劣化する可能性があるため、"READ UNCOMMITTED 分離レベル" を使用することを検討する。
※ただし、ダーティーリードすることで取得データの重複や欠落が発生する可能性もあるため、それが許容される業務要件の画面であるか検討した上でパフォーマンスを改善することのメリットがある場合に対応する。
(参考)SQL Server で "READ UNCOMMITTED 分離レベル" または "NOLOCK ヒント" を使用した SQL 文を実行してデータを参照すると、読み取ったデータの行が欠落または重複する場合がある
https://support.microsoft.com/ja-jp/kb/975782
</t>
    <rPh sb="3" eb="4">
      <t>リョウ</t>
    </rPh>
    <rPh sb="5" eb="6">
      <t>オオ</t>
    </rPh>
    <rPh sb="7" eb="9">
      <t>サンショウ</t>
    </rPh>
    <rPh sb="15" eb="16">
      <t>スウ</t>
    </rPh>
    <rPh sb="17" eb="18">
      <t>オオ</t>
    </rPh>
    <rPh sb="22" eb="24">
      <t>ガメン</t>
    </rPh>
    <rPh sb="37" eb="38">
      <t>サイ</t>
    </rPh>
    <rPh sb="62" eb="64">
      <t>シヨウ</t>
    </rPh>
    <rPh sb="78" eb="80">
      <t>ハッセイ</t>
    </rPh>
    <rPh sb="93" eb="95">
      <t>レッカ</t>
    </rPh>
    <rPh sb="97" eb="100">
      <t>カノウセイ</t>
    </rPh>
    <rPh sb="132" eb="134">
      <t>シヨウ</t>
    </rPh>
    <rPh sb="139" eb="141">
      <t>ケントウ</t>
    </rPh>
    <rPh sb="163" eb="165">
      <t>シュトク</t>
    </rPh>
    <rPh sb="169" eb="171">
      <t>チョウフク</t>
    </rPh>
    <rPh sb="172" eb="174">
      <t>ケツラク</t>
    </rPh>
    <rPh sb="175" eb="177">
      <t>ハッセイ</t>
    </rPh>
    <rPh sb="179" eb="182">
      <t>カノウセイ</t>
    </rPh>
    <rPh sb="191" eb="193">
      <t>キョヨウ</t>
    </rPh>
    <rPh sb="246" eb="248">
      <t>サンコウ</t>
    </rPh>
    <phoneticPr fontId="21"/>
  </si>
  <si>
    <t>デッドロックの発生によりパフォーマンス劣化する可能性がある。</t>
    <rPh sb="7" eb="9">
      <t>ハッセイ</t>
    </rPh>
    <rPh sb="19" eb="21">
      <t>レッカ</t>
    </rPh>
    <rPh sb="23" eb="26">
      <t>カノウセイ</t>
    </rPh>
    <phoneticPr fontId="21"/>
  </si>
  <si>
    <t>3-25</t>
  </si>
  <si>
    <t>コネクション</t>
    <phoneticPr fontId="21"/>
  </si>
  <si>
    <t xml:space="preserve">・DBコネクションは各処理で個別に定義していること(複数の処理で共有していないこと)
</t>
    <phoneticPr fontId="9"/>
  </si>
  <si>
    <t>3-26</t>
  </si>
  <si>
    <t xml:space="preserve">・一連の処理でDB資源の解放は1回だけにしていること
</t>
    <phoneticPr fontId="9"/>
  </si>
  <si>
    <t xml:space="preserve">・DBコネクションを使用した際には、必ずクローズをしていること
※SQL Server Management Studioの管理ー利用状況モニタにてセッションが増えてないか確認する。
</t>
    <rPh sb="10" eb="12">
      <t>シヨウ</t>
    </rPh>
    <rPh sb="14" eb="15">
      <t>サイ</t>
    </rPh>
    <rPh sb="18" eb="19">
      <t>カナラ</t>
    </rPh>
    <rPh sb="62" eb="64">
      <t>カンリ</t>
    </rPh>
    <rPh sb="65" eb="67">
      <t>リヨウ</t>
    </rPh>
    <rPh sb="67" eb="69">
      <t>ジョウキョウ</t>
    </rPh>
    <rPh sb="80" eb="81">
      <t>フ</t>
    </rPh>
    <rPh sb="86" eb="88">
      <t>カクニン</t>
    </rPh>
    <phoneticPr fontId="5"/>
  </si>
  <si>
    <t>C#、画面帳票等</t>
    <rPh sb="3" eb="5">
      <t>ガメン</t>
    </rPh>
    <rPh sb="5" eb="7">
      <t>チョウヒョウ</t>
    </rPh>
    <rPh sb="7" eb="8">
      <t>トウ</t>
    </rPh>
    <phoneticPr fontId="2"/>
  </si>
  <si>
    <t>4-1</t>
    <phoneticPr fontId="21"/>
  </si>
  <si>
    <t>4-2</t>
  </si>
  <si>
    <t>4-3</t>
  </si>
  <si>
    <t>画面</t>
    <rPh sb="0" eb="2">
      <t>ガメン</t>
    </rPh>
    <phoneticPr fontId="21"/>
  </si>
  <si>
    <t>入力制御</t>
    <rPh sb="0" eb="2">
      <t>ニュウリョク</t>
    </rPh>
    <rPh sb="2" eb="4">
      <t>セイギョ</t>
    </rPh>
    <phoneticPr fontId="3"/>
  </si>
  <si>
    <t xml:space="preserve">テキストボックスにおいて以下入力制御を実装ができていることを確認する。
・半角モードにて全角が混在した場合、エラーメッセージもしくは全角をトリムする処理。コピペを想定。
</t>
    <rPh sb="12" eb="14">
      <t>イカ</t>
    </rPh>
    <rPh sb="14" eb="16">
      <t>ニュウリョク</t>
    </rPh>
    <rPh sb="16" eb="18">
      <t>セイギョ</t>
    </rPh>
    <rPh sb="19" eb="21">
      <t>ジッソウ</t>
    </rPh>
    <rPh sb="30" eb="32">
      <t>カクニン</t>
    </rPh>
    <rPh sb="37" eb="39">
      <t>ハンカク</t>
    </rPh>
    <rPh sb="44" eb="46">
      <t>ゼンカク</t>
    </rPh>
    <rPh sb="47" eb="49">
      <t>コンザイ</t>
    </rPh>
    <rPh sb="51" eb="53">
      <t>バアイ</t>
    </rPh>
    <rPh sb="66" eb="68">
      <t>ゼンカク</t>
    </rPh>
    <rPh sb="74" eb="76">
      <t>ショリ</t>
    </rPh>
    <rPh sb="81" eb="83">
      <t>ソウテイ</t>
    </rPh>
    <phoneticPr fontId="3"/>
  </si>
  <si>
    <t xml:space="preserve">半角全角については、「RT-RT-41476 香川銀行 顧客番号に全角スペースが付与されている」を参照。 </t>
    <rPh sb="0" eb="2">
      <t>ハンカク</t>
    </rPh>
    <rPh sb="2" eb="4">
      <t>ゼンカク</t>
    </rPh>
    <rPh sb="49" eb="51">
      <t>サンショウ</t>
    </rPh>
    <phoneticPr fontId="21"/>
  </si>
  <si>
    <t>4-4</t>
  </si>
  <si>
    <t>項目使用不可</t>
    <rPh sb="0" eb="2">
      <t>コウモク</t>
    </rPh>
    <rPh sb="2" eb="4">
      <t>シヨウ</t>
    </rPh>
    <rPh sb="4" eb="6">
      <t>フカ</t>
    </rPh>
    <phoneticPr fontId="21"/>
  </si>
  <si>
    <t xml:space="preserve">TEXTAREAをenable=falseにするとスクロールができなくなる。Readonly=trueを使用していることを確認する。
</t>
    <rPh sb="52" eb="54">
      <t>シヨウ</t>
    </rPh>
    <rPh sb="61" eb="63">
      <t>カクニン</t>
    </rPh>
    <phoneticPr fontId="21"/>
  </si>
  <si>
    <t xml:space="preserve">項目使用不可（入力不可）の場合、TEXTAREAのスクロールができなくなる。詳細はRT-RT-37166参照
</t>
    <rPh sb="7" eb="9">
      <t>ニュウリョク</t>
    </rPh>
    <rPh sb="9" eb="11">
      <t>フカ</t>
    </rPh>
    <rPh sb="13" eb="15">
      <t>バアイ</t>
    </rPh>
    <rPh sb="38" eb="40">
      <t>ショウサイ</t>
    </rPh>
    <rPh sb="52" eb="54">
      <t>サンショウ</t>
    </rPh>
    <phoneticPr fontId="21"/>
  </si>
  <si>
    <t>4-5</t>
  </si>
  <si>
    <t>項目制御</t>
    <rPh sb="0" eb="2">
      <t>コウモク</t>
    </rPh>
    <rPh sb="2" eb="4">
      <t>セイギョ</t>
    </rPh>
    <phoneticPr fontId="21"/>
  </si>
  <si>
    <t xml:space="preserve">画面項目定義（拡張FW）を使用しているサブシステム（顧客/稟議/営業支援/担保保証）について、既存項目に対する制御を修正する場合は、画面項目定義（拡張FW）の制御内容だけではなく、画面CS内に項目制御を実装している可能性があるため、その内容も考慮し修正を行う。
</t>
    <phoneticPr fontId="21"/>
  </si>
  <si>
    <t xml:space="preserve">項目制御について想定外の制御となる。詳細はRT-RT-40010参照
</t>
    <rPh sb="0" eb="2">
      <t>コウモク</t>
    </rPh>
    <rPh sb="2" eb="4">
      <t>セイギョ</t>
    </rPh>
    <rPh sb="8" eb="10">
      <t>ソウテイ</t>
    </rPh>
    <rPh sb="10" eb="11">
      <t>ガイ</t>
    </rPh>
    <rPh sb="12" eb="14">
      <t>セイギョ</t>
    </rPh>
    <rPh sb="18" eb="20">
      <t>ショウサイ</t>
    </rPh>
    <rPh sb="32" eb="34">
      <t>サンショウ</t>
    </rPh>
    <phoneticPr fontId="21"/>
  </si>
  <si>
    <t>4-6</t>
  </si>
  <si>
    <t>リロード処理</t>
    <rPh sb="4" eb="6">
      <t>ショリ</t>
    </rPh>
    <phoneticPr fontId="3"/>
  </si>
  <si>
    <t xml:space="preserve">テキストボックスにてAutoPostBack定義を「true」にて使用されていないことを確認する。
テキストボックスにてリロード処理の実装が必要な場合は、doPostBack関数を利用して明示的に指定された処理タイミングでのみリロード処理を実装する。
→例外としてテキストボックスにてAutoPostBack定義を「true」にて使用する必要がある場合は、
　 登録ボタン押下時も入力値チェックを実施することを必須とすること
</t>
    <rPh sb="33" eb="35">
      <t>シヨウ</t>
    </rPh>
    <rPh sb="44" eb="46">
      <t>カクニン</t>
    </rPh>
    <rPh sb="64" eb="66">
      <t>ショリ</t>
    </rPh>
    <rPh sb="67" eb="69">
      <t>ジッソウ</t>
    </rPh>
    <rPh sb="70" eb="72">
      <t>ヒツヨウ</t>
    </rPh>
    <rPh sb="73" eb="75">
      <t>バアイ</t>
    </rPh>
    <rPh sb="90" eb="92">
      <t>リヨウ</t>
    </rPh>
    <rPh sb="94" eb="97">
      <t>メイジテキ</t>
    </rPh>
    <rPh sb="98" eb="100">
      <t>シテイ</t>
    </rPh>
    <rPh sb="103" eb="105">
      <t>ショリ</t>
    </rPh>
    <rPh sb="117" eb="119">
      <t>ショリ</t>
    </rPh>
    <rPh sb="120" eb="122">
      <t>ジッソウ</t>
    </rPh>
    <phoneticPr fontId="3"/>
  </si>
  <si>
    <t>不正値の状態で値の登録が可能となる可能性がある。
詳細はRT-RT-35535参照</t>
    <rPh sb="0" eb="2">
      <t>フセイ</t>
    </rPh>
    <rPh sb="2" eb="3">
      <t>チ</t>
    </rPh>
    <rPh sb="4" eb="6">
      <t>ジョウタイ</t>
    </rPh>
    <rPh sb="7" eb="8">
      <t>アタイ</t>
    </rPh>
    <rPh sb="9" eb="11">
      <t>トウロク</t>
    </rPh>
    <rPh sb="12" eb="14">
      <t>カノウ</t>
    </rPh>
    <rPh sb="17" eb="20">
      <t>カノウセイ</t>
    </rPh>
    <rPh sb="25" eb="27">
      <t>ショウサイ</t>
    </rPh>
    <phoneticPr fontId="3"/>
  </si>
  <si>
    <t>4-7</t>
  </si>
  <si>
    <t>拡張FW</t>
    <rPh sb="0" eb="2">
      <t>カクチョウ</t>
    </rPh>
    <phoneticPr fontId="21"/>
  </si>
  <si>
    <t>日付項目</t>
    <rPh sb="0" eb="2">
      <t>ヒヅケ</t>
    </rPh>
    <rPh sb="2" eb="4">
      <t>コウモク</t>
    </rPh>
    <phoneticPr fontId="21"/>
  </si>
  <si>
    <t xml:space="preserve">・日付項目について、単一チェックにCHKDATEが設定されていること
・先頭、末尾について半角空白が入力不可であること
・半角空白を削除してから日付チェックを行っていること
</t>
    <rPh sb="1" eb="3">
      <t>ヒヅケ</t>
    </rPh>
    <rPh sb="3" eb="5">
      <t>コウモク</t>
    </rPh>
    <rPh sb="10" eb="12">
      <t>タンイツ</t>
    </rPh>
    <rPh sb="25" eb="27">
      <t>セッテイ</t>
    </rPh>
    <phoneticPr fontId="21"/>
  </si>
  <si>
    <t>半角空白が存在すると、表示処理にて日付変換ができずシステムエラーとなる。詳細はRT-RT-37776参照</t>
    <rPh sb="36" eb="38">
      <t>ショウサイ</t>
    </rPh>
    <rPh sb="50" eb="52">
      <t>サンショウ</t>
    </rPh>
    <phoneticPr fontId="21"/>
  </si>
  <si>
    <t>その他</t>
    <rPh sb="2" eb="3">
      <t>タ</t>
    </rPh>
    <phoneticPr fontId="9"/>
  </si>
  <si>
    <t xml:space="preserve">・新規導入等カスタマイズ案件の場合は、ソースへの修正が必ず設計書やさらにはカスタマイズ概要書まで反映されていることを確認すること。特にItaやItbの試験中に発生した障害対応でソースを追加修正する際には修正漏れが発生しやすいので注意すること
</t>
    <rPh sb="1" eb="3">
      <t>シンキ</t>
    </rPh>
    <rPh sb="3" eb="5">
      <t>ドウニュウ</t>
    </rPh>
    <rPh sb="5" eb="6">
      <t>トウ</t>
    </rPh>
    <rPh sb="12" eb="14">
      <t>アンケン</t>
    </rPh>
    <rPh sb="15" eb="17">
      <t>バアイ</t>
    </rPh>
    <rPh sb="24" eb="26">
      <t>シュウセイ</t>
    </rPh>
    <rPh sb="27" eb="28">
      <t>カナラ</t>
    </rPh>
    <rPh sb="29" eb="32">
      <t>セッケイショ</t>
    </rPh>
    <rPh sb="43" eb="46">
      <t>ガイヨウショ</t>
    </rPh>
    <rPh sb="48" eb="50">
      <t>ハンエイ</t>
    </rPh>
    <rPh sb="58" eb="60">
      <t>カクニン</t>
    </rPh>
    <rPh sb="65" eb="66">
      <t>トク</t>
    </rPh>
    <phoneticPr fontId="5"/>
  </si>
  <si>
    <t>カスタマイズ概要書や設計書と実際の機能（ソースコード）の乖離が生じてしまう</t>
    <rPh sb="6" eb="9">
      <t>ガイヨウショ</t>
    </rPh>
    <rPh sb="10" eb="13">
      <t>セッケイショ</t>
    </rPh>
    <rPh sb="14" eb="16">
      <t>ジッサイ</t>
    </rPh>
    <rPh sb="17" eb="19">
      <t>キノウ</t>
    </rPh>
    <rPh sb="28" eb="30">
      <t>カイリ</t>
    </rPh>
    <rPh sb="31" eb="32">
      <t>ショウ</t>
    </rPh>
    <phoneticPr fontId="9"/>
  </si>
  <si>
    <t xml:space="preserve">・パッケージモジュールを修正する場合、モジュール間での連携に関わる処理があれば、購入フラグが考慮されていることを確認する。
（例）営業支援のネタ情報と電子稟議の融資申込受付の連携時など。
</t>
    <phoneticPr fontId="5"/>
  </si>
  <si>
    <t>連携先のモジュールが未購入の場合、連携先のテーブルを呼び出した際にエラーが発生する。</t>
    <phoneticPr fontId="9"/>
  </si>
  <si>
    <t>帳票</t>
    <rPh sb="0" eb="2">
      <t>チョウヒョウ</t>
    </rPh>
    <phoneticPr fontId="21"/>
  </si>
  <si>
    <t>RSHEET</t>
  </si>
  <si>
    <t>印刷設定</t>
    <rPh sb="0" eb="2">
      <t>インサツ</t>
    </rPh>
    <rPh sb="2" eb="4">
      <t>セッテイ</t>
    </rPh>
    <phoneticPr fontId="21"/>
  </si>
  <si>
    <t xml:space="preserve">RSHEET作成時、「印刷」の「ページ設定」から印刷範囲の設定を行っていること
</t>
    <rPh sb="11" eb="13">
      <t>インサツ</t>
    </rPh>
    <rPh sb="19" eb="21">
      <t>セッテイ</t>
    </rPh>
    <rPh sb="24" eb="26">
      <t>インサツ</t>
    </rPh>
    <rPh sb="26" eb="28">
      <t>ハンイ</t>
    </rPh>
    <rPh sb="29" eb="31">
      <t>セッテイ</t>
    </rPh>
    <rPh sb="32" eb="33">
      <t>オコナ</t>
    </rPh>
    <phoneticPr fontId="21"/>
  </si>
  <si>
    <t xml:space="preserve">複数シートを対象にするとRsheetの印刷範囲が崩れる
詳細はRT-RT-36388 参照
</t>
    <rPh sb="0" eb="2">
      <t>フクスウ</t>
    </rPh>
    <rPh sb="6" eb="8">
      <t>タイショウ</t>
    </rPh>
    <rPh sb="28" eb="30">
      <t>ショウサイ</t>
    </rPh>
    <rPh sb="43" eb="45">
      <t>サンショウ</t>
    </rPh>
    <phoneticPr fontId="21"/>
  </si>
  <si>
    <t>初期フォーカス位置</t>
    <rPh sb="0" eb="2">
      <t>ショキ</t>
    </rPh>
    <rPh sb="7" eb="9">
      <t>イチ</t>
    </rPh>
    <phoneticPr fontId="21"/>
  </si>
  <si>
    <t xml:space="preserve">RSHEET修正時、初期フォーカス位置は修正前と同一セルとすること。
作成時の初期フォーカス位置は原則的にリセット(「Ctrl + Home」を押下)して保存すること。要件によって初期位置が指定されている場合はその指定位置とする。
※作成時は初期フォーカス位置についてPMに確認すること
</t>
    <rPh sb="6" eb="8">
      <t>シュウセイ</t>
    </rPh>
    <rPh sb="10" eb="12">
      <t>ショキ</t>
    </rPh>
    <rPh sb="17" eb="19">
      <t>イチ</t>
    </rPh>
    <rPh sb="20" eb="22">
      <t>シュウセイ</t>
    </rPh>
    <rPh sb="22" eb="23">
      <t>マエ</t>
    </rPh>
    <rPh sb="24" eb="26">
      <t>ドウイツ</t>
    </rPh>
    <rPh sb="35" eb="37">
      <t>サクセイ</t>
    </rPh>
    <rPh sb="37" eb="38">
      <t>ジ</t>
    </rPh>
    <rPh sb="39" eb="41">
      <t>ショキ</t>
    </rPh>
    <rPh sb="46" eb="48">
      <t>イチ</t>
    </rPh>
    <rPh sb="49" eb="51">
      <t>ゲンソク</t>
    </rPh>
    <rPh sb="51" eb="52">
      <t>テキ</t>
    </rPh>
    <rPh sb="121" eb="123">
      <t>ショキ</t>
    </rPh>
    <rPh sb="128" eb="130">
      <t>イチ</t>
    </rPh>
    <phoneticPr fontId="21"/>
  </si>
  <si>
    <t>初期フォーカス位置が修正する度に変化する可能性がある
動作には影響しないが、直接触るユーザに違和感を与える恐れがある</t>
    <rPh sb="0" eb="2">
      <t>ショキ</t>
    </rPh>
    <rPh sb="7" eb="9">
      <t>イチ</t>
    </rPh>
    <rPh sb="10" eb="12">
      <t>シュウセイ</t>
    </rPh>
    <rPh sb="14" eb="15">
      <t>タビ</t>
    </rPh>
    <rPh sb="16" eb="18">
      <t>ヘンカ</t>
    </rPh>
    <rPh sb="20" eb="23">
      <t>カノウセイ</t>
    </rPh>
    <rPh sb="27" eb="29">
      <t>ドウサ</t>
    </rPh>
    <rPh sb="31" eb="33">
      <t>エイキョウ</t>
    </rPh>
    <rPh sb="38" eb="40">
      <t>チョクセツ</t>
    </rPh>
    <rPh sb="40" eb="41">
      <t>サワ</t>
    </rPh>
    <rPh sb="46" eb="49">
      <t>イワカン</t>
    </rPh>
    <rPh sb="50" eb="51">
      <t>アタ</t>
    </rPh>
    <rPh sb="53" eb="54">
      <t>オソ</t>
    </rPh>
    <phoneticPr fontId="21"/>
  </si>
  <si>
    <t>バッチ</t>
    <phoneticPr fontId="21"/>
  </si>
  <si>
    <t>4-12</t>
    <phoneticPr fontId="21"/>
  </si>
  <si>
    <t>過去データ削除</t>
    <rPh sb="0" eb="2">
      <t>カコ</t>
    </rPh>
    <rPh sb="5" eb="7">
      <t>サクジョ</t>
    </rPh>
    <phoneticPr fontId="21"/>
  </si>
  <si>
    <t>過去データ削除処理において削除期間の設定変更を行う際は、変更対象テーブルのdelete文にあるwhere句の全条件を見直し、設定漏れがないかを確認する。
例）すべてのデータを削除対象外としたいが、
　　　A or Bの条件があり、Aのみ修正したがBの修正が漏れてBに該当するデータが削除された　等</t>
    <rPh sb="0" eb="2">
      <t>カコ</t>
    </rPh>
    <rPh sb="5" eb="7">
      <t>サクジョ</t>
    </rPh>
    <rPh sb="7" eb="9">
      <t>ショリ</t>
    </rPh>
    <rPh sb="13" eb="17">
      <t>サクジョキカン</t>
    </rPh>
    <rPh sb="18" eb="22">
      <t>セッテイヘンコウ</t>
    </rPh>
    <rPh sb="23" eb="24">
      <t>オコナ</t>
    </rPh>
    <rPh sb="25" eb="26">
      <t>サイ</t>
    </rPh>
    <rPh sb="62" eb="65">
      <t>セッテイモ</t>
    </rPh>
    <rPh sb="71" eb="73">
      <t>カクニン</t>
    </rPh>
    <rPh sb="77" eb="78">
      <t>レイ</t>
    </rPh>
    <rPh sb="87" eb="92">
      <t>サクジョタイショウガイ</t>
    </rPh>
    <rPh sb="109" eb="111">
      <t>ジョウケン</t>
    </rPh>
    <rPh sb="118" eb="120">
      <t>シュウセイ</t>
    </rPh>
    <rPh sb="125" eb="127">
      <t>シュウセイ</t>
    </rPh>
    <rPh sb="128" eb="129">
      <t>モ</t>
    </rPh>
    <rPh sb="133" eb="135">
      <t>ガイトウ</t>
    </rPh>
    <rPh sb="141" eb="143">
      <t>サクジョ</t>
    </rPh>
    <rPh sb="147" eb="148">
      <t>トウ</t>
    </rPh>
    <phoneticPr fontId="21"/>
  </si>
  <si>
    <t xml:space="preserve">RT-RT-66613 参照
</t>
    <rPh sb="12" eb="14">
      <t>サンショウ</t>
    </rPh>
    <phoneticPr fontId="21"/>
  </si>
  <si>
    <t>その他</t>
    <rPh sb="2" eb="3">
      <t>タ</t>
    </rPh>
    <phoneticPr fontId="21"/>
  </si>
  <si>
    <t>5-1</t>
    <phoneticPr fontId="21"/>
  </si>
  <si>
    <t>マージ作業</t>
    <rPh sb="3" eb="5">
      <t>サギョウ</t>
    </rPh>
    <phoneticPr fontId="21"/>
  </si>
  <si>
    <t>コード差分比較</t>
    <rPh sb="3" eb="5">
      <t>サブン</t>
    </rPh>
    <rPh sb="5" eb="7">
      <t>ヒカク</t>
    </rPh>
    <phoneticPr fontId="21"/>
  </si>
  <si>
    <t xml:space="preserve">・修正前後のソースコードファイルの差分を比較して既存コードの記載内容について削除または更新されていないこと確認
・もし削除や同一行の変更がある場合は、マージ差分比較結果の資料を参照し、当該箇所の変更がマージ要件であることを確認する
</t>
    <phoneticPr fontId="21"/>
  </si>
  <si>
    <t>・マージ前の既存機能について正しく動作しなくなる</t>
    <rPh sb="4" eb="5">
      <t>マエ</t>
    </rPh>
    <rPh sb="6" eb="8">
      <t>キゾン</t>
    </rPh>
    <rPh sb="8" eb="10">
      <t>キノウ</t>
    </rPh>
    <rPh sb="14" eb="15">
      <t>タダ</t>
    </rPh>
    <rPh sb="17" eb="19">
      <t>ドウサ</t>
    </rPh>
    <phoneticPr fontId="21"/>
  </si>
  <si>
    <t>5-2</t>
    <phoneticPr fontId="21"/>
  </si>
  <si>
    <t>対応漏れ確認</t>
    <rPh sb="0" eb="2">
      <t>タイオウ</t>
    </rPh>
    <rPh sb="2" eb="3">
      <t>モ</t>
    </rPh>
    <rPh sb="4" eb="6">
      <t>カクニン</t>
    </rPh>
    <phoneticPr fontId="21"/>
  </si>
  <si>
    <t>・設計書から実装が完了した時点で、設計書と成果物を突合し 、抜け漏れが無いことを確認する。</t>
    <rPh sb="1" eb="4">
      <t>セッケイショ</t>
    </rPh>
    <rPh sb="6" eb="8">
      <t>ジッソウ</t>
    </rPh>
    <rPh sb="17" eb="20">
      <t>セッケイショ</t>
    </rPh>
    <rPh sb="21" eb="24">
      <t>セイカブツ</t>
    </rPh>
    <phoneticPr fontId="2"/>
  </si>
  <si>
    <t>5-3</t>
    <phoneticPr fontId="21"/>
  </si>
  <si>
    <t>チェックイン</t>
    <phoneticPr fontId="21"/>
  </si>
  <si>
    <t>チェックイン確認方法</t>
    <rPh sb="6" eb="8">
      <t>カクニン</t>
    </rPh>
    <rPh sb="8" eb="10">
      <t>ホウホウ</t>
    </rPh>
    <phoneticPr fontId="21"/>
  </si>
  <si>
    <t>チェックイン漏れ、チェックインミスが発見できなくなる</t>
    <rPh sb="6" eb="7">
      <t>モ</t>
    </rPh>
    <rPh sb="18" eb="20">
      <t>ハッケン</t>
    </rPh>
    <phoneticPr fontId="21"/>
  </si>
  <si>
    <t>5-4</t>
  </si>
  <si>
    <t>セキュリティログ</t>
    <phoneticPr fontId="21"/>
  </si>
  <si>
    <t>セキュリティログ追加の有無について</t>
    <rPh sb="8" eb="10">
      <t>ツイカ</t>
    </rPh>
    <rPh sb="11" eb="13">
      <t>ウム</t>
    </rPh>
    <phoneticPr fontId="21"/>
  </si>
  <si>
    <t>新規機能を追加する場合、セキュリティログの追加を検討していること。</t>
    <rPh sb="9" eb="11">
      <t>ツイカ</t>
    </rPh>
    <rPh sb="12" eb="14">
      <t>ケントウ</t>
    </rPh>
    <phoneticPr fontId="21"/>
  </si>
  <si>
    <r>
      <t>・モジュール修正箇所の全ステートメントが実行されるテストケースになっていること
・モジュール修正箇所に関連する全ての機能が無効になっていない（無影響確認）がテストケースに含まれていること
上記を作成および検証した</t>
    </r>
    <r>
      <rPr>
        <b/>
        <u/>
        <sz val="11"/>
        <rFont val="Meiryo UI"/>
        <family val="3"/>
        <charset val="128"/>
      </rPr>
      <t>担当者名</t>
    </r>
    <r>
      <rPr>
        <sz val="11"/>
        <rFont val="Meiryo UI"/>
        <family val="3"/>
        <charset val="128"/>
      </rPr>
      <t xml:space="preserve">を以下に記載する。
</t>
    </r>
    <rPh sb="6" eb="8">
      <t>シュウセイ</t>
    </rPh>
    <rPh sb="8" eb="10">
      <t>カショ</t>
    </rPh>
    <rPh sb="11" eb="12">
      <t>スベ</t>
    </rPh>
    <rPh sb="20" eb="22">
      <t>ジッコウ</t>
    </rPh>
    <rPh sb="46" eb="48">
      <t>シュウセイ</t>
    </rPh>
    <rPh sb="48" eb="50">
      <t>カショ</t>
    </rPh>
    <rPh sb="51" eb="53">
      <t>カンレン</t>
    </rPh>
    <rPh sb="55" eb="56">
      <t>スベ</t>
    </rPh>
    <rPh sb="58" eb="60">
      <t>キノウ</t>
    </rPh>
    <rPh sb="61" eb="63">
      <t>ムコウ</t>
    </rPh>
    <rPh sb="71" eb="72">
      <t>ム</t>
    </rPh>
    <rPh sb="72" eb="74">
      <t>エイキョウ</t>
    </rPh>
    <rPh sb="74" eb="76">
      <t>カクニン</t>
    </rPh>
    <rPh sb="85" eb="86">
      <t>フク</t>
    </rPh>
    <rPh sb="94" eb="96">
      <t>ジョウキ</t>
    </rPh>
    <rPh sb="97" eb="99">
      <t>サクセイ</t>
    </rPh>
    <rPh sb="102" eb="104">
      <t>ケンショウ</t>
    </rPh>
    <rPh sb="106" eb="108">
      <t>タントウ</t>
    </rPh>
    <rPh sb="108" eb="109">
      <t>シャ</t>
    </rPh>
    <rPh sb="109" eb="110">
      <t>メイ</t>
    </rPh>
    <rPh sb="111" eb="113">
      <t>イカ</t>
    </rPh>
    <rPh sb="114" eb="116">
      <t>キサイ</t>
    </rPh>
    <phoneticPr fontId="2"/>
  </si>
  <si>
    <t>ケース数</t>
    <rPh sb="3" eb="4">
      <t>スウ</t>
    </rPh>
    <phoneticPr fontId="2"/>
  </si>
  <si>
    <t xml:space="preserve"> 品川 検証1担当</t>
    <rPh sb="1" eb="2">
      <t>シナ</t>
    </rPh>
    <rPh sb="2" eb="3">
      <t>ガワ</t>
    </rPh>
    <rPh sb="4" eb="6">
      <t>ケンショウ</t>
    </rPh>
    <rPh sb="7" eb="9">
      <t>タントウ</t>
    </rPh>
    <phoneticPr fontId="2"/>
  </si>
  <si>
    <t>ケース数の妥当性を検証者1は以下にコメントする。</t>
    <rPh sb="3" eb="4">
      <t>スウ</t>
    </rPh>
    <rPh sb="5" eb="8">
      <t>ダトウセイ</t>
    </rPh>
    <rPh sb="9" eb="11">
      <t>ケンショウ</t>
    </rPh>
    <rPh sb="11" eb="12">
      <t>シャ</t>
    </rPh>
    <rPh sb="14" eb="16">
      <t>イカ</t>
    </rPh>
    <phoneticPr fontId="2"/>
  </si>
  <si>
    <t>正常ケース</t>
    <rPh sb="0" eb="2">
      <t>セイジョウ</t>
    </rPh>
    <phoneticPr fontId="2"/>
  </si>
  <si>
    <t>異常ケース</t>
    <rPh sb="0" eb="2">
      <t>イジョウ</t>
    </rPh>
    <phoneticPr fontId="2"/>
  </si>
  <si>
    <t>出力ファイル</t>
    <rPh sb="0" eb="2">
      <t>シュツリョク</t>
    </rPh>
    <phoneticPr fontId="61"/>
  </si>
  <si>
    <t>トレーニング</t>
  </si>
  <si>
    <r>
      <t xml:space="preserve">・開発規約の確認（VSS： $/Document/001.Package/A.開発管理）
</t>
    </r>
    <r>
      <rPr>
        <sz val="11"/>
        <color indexed="10"/>
        <rFont val="Meiryo UI"/>
        <family val="3"/>
        <charset val="128"/>
      </rPr>
      <t/>
    </r>
    <rPh sb="1" eb="3">
      <t>カイハツ</t>
    </rPh>
    <rPh sb="3" eb="5">
      <t>キヤク</t>
    </rPh>
    <rPh sb="6" eb="8">
      <t>カクニン</t>
    </rPh>
    <phoneticPr fontId="5"/>
  </si>
  <si>
    <t>成果物</t>
    <rPh sb="0" eb="2">
      <t>セイカ</t>
    </rPh>
    <rPh sb="2" eb="3">
      <t>ブツ</t>
    </rPh>
    <phoneticPr fontId="5"/>
  </si>
  <si>
    <t xml:space="preserve">・成果物の確認
</t>
    <rPh sb="1" eb="3">
      <t>セイカ</t>
    </rPh>
    <rPh sb="3" eb="4">
      <t>ブツ</t>
    </rPh>
    <rPh sb="5" eb="7">
      <t>カクニン</t>
    </rPh>
    <phoneticPr fontId="5"/>
  </si>
  <si>
    <t>1-3</t>
  </si>
  <si>
    <t>テスト仕様書</t>
    <rPh sb="3" eb="5">
      <t>シヨウ</t>
    </rPh>
    <rPh sb="5" eb="6">
      <t>ショ</t>
    </rPh>
    <phoneticPr fontId="2"/>
  </si>
  <si>
    <t>1-4</t>
  </si>
  <si>
    <t>スクリプトエラー確認設定</t>
    <rPh sb="8" eb="10">
      <t>カクニン</t>
    </rPh>
    <rPh sb="10" eb="12">
      <t>セッテイ</t>
    </rPh>
    <phoneticPr fontId="5"/>
  </si>
  <si>
    <t xml:space="preserve">・打鍵の際、インターネットオプションの詳細タブの「スクリプトエラーごとに通知する」にチェックを入れてあること
</t>
    <rPh sb="4" eb="5">
      <t>サイ</t>
    </rPh>
    <rPh sb="19" eb="21">
      <t>ショウサイ</t>
    </rPh>
    <rPh sb="36" eb="38">
      <t>ツウチ</t>
    </rPh>
    <rPh sb="47" eb="48">
      <t>イ</t>
    </rPh>
    <phoneticPr fontId="5"/>
  </si>
  <si>
    <t>1-5</t>
  </si>
  <si>
    <t>カバレッジ</t>
    <phoneticPr fontId="5"/>
  </si>
  <si>
    <t xml:space="preserve">・修正した全てのステートメントを少なくとも1回は実行するテストケース（データパターン）を用意すること。
</t>
    <rPh sb="1" eb="3">
      <t>シュウセイ</t>
    </rPh>
    <rPh sb="5" eb="6">
      <t>スベ</t>
    </rPh>
    <rPh sb="44" eb="46">
      <t>ヨウイ</t>
    </rPh>
    <phoneticPr fontId="5"/>
  </si>
  <si>
    <t>RT-RT-47341荘内銀行 自己査定還元データフォーマット不正
→特定科目にかかわるテスト（データ）パターンが不足していた。</t>
    <rPh sb="35" eb="37">
      <t>トクテイ</t>
    </rPh>
    <rPh sb="37" eb="39">
      <t>カモク</t>
    </rPh>
    <rPh sb="57" eb="59">
      <t>フソク</t>
    </rPh>
    <phoneticPr fontId="61"/>
  </si>
  <si>
    <t>テスト仕様</t>
    <phoneticPr fontId="2"/>
  </si>
  <si>
    <t>画面</t>
    <rPh sb="0" eb="2">
      <t>ガメン</t>
    </rPh>
    <phoneticPr fontId="5"/>
  </si>
  <si>
    <t>画面構成</t>
    <rPh sb="0" eb="2">
      <t>ガメン</t>
    </rPh>
    <rPh sb="2" eb="4">
      <t>コウセイ</t>
    </rPh>
    <phoneticPr fontId="5"/>
  </si>
  <si>
    <t xml:space="preserve">・画面レイアウトが登録時・参照時ともに崩れないことを確認
</t>
    <rPh sb="9" eb="11">
      <t>トウロク</t>
    </rPh>
    <rPh sb="11" eb="12">
      <t>ジ</t>
    </rPh>
    <rPh sb="13" eb="15">
      <t>サンショウ</t>
    </rPh>
    <rPh sb="15" eb="16">
      <t>ジ</t>
    </rPh>
    <rPh sb="19" eb="20">
      <t>クズ</t>
    </rPh>
    <rPh sb="26" eb="28">
      <t>カクニン</t>
    </rPh>
    <phoneticPr fontId="5"/>
  </si>
  <si>
    <t xml:space="preserve">・表示モードの追加・変更時、対象画面にスクロールバーがある場合、最大桁数が表示されることを確認。
※特に表示モードを「読み取り専用」から「非活性設定」とした場合。
</t>
    <rPh sb="1" eb="3">
      <t>ヒョウジ</t>
    </rPh>
    <rPh sb="7" eb="9">
      <t>ツイカ</t>
    </rPh>
    <rPh sb="10" eb="12">
      <t>ヘンコウ</t>
    </rPh>
    <rPh sb="12" eb="13">
      <t>ジ</t>
    </rPh>
    <rPh sb="14" eb="16">
      <t>タイショウ</t>
    </rPh>
    <rPh sb="16" eb="18">
      <t>ガメン</t>
    </rPh>
    <rPh sb="29" eb="31">
      <t>バアイ</t>
    </rPh>
    <rPh sb="32" eb="34">
      <t>サイダイ</t>
    </rPh>
    <rPh sb="34" eb="36">
      <t>ケタスウ</t>
    </rPh>
    <rPh sb="37" eb="39">
      <t>ヒョウジ</t>
    </rPh>
    <rPh sb="45" eb="47">
      <t>カクニン</t>
    </rPh>
    <rPh sb="50" eb="51">
      <t>トク</t>
    </rPh>
    <rPh sb="52" eb="54">
      <t>ヒョウジ</t>
    </rPh>
    <rPh sb="59" eb="60">
      <t>ヨ</t>
    </rPh>
    <rPh sb="61" eb="62">
      <t>ト</t>
    </rPh>
    <rPh sb="63" eb="65">
      <t>センヨウ</t>
    </rPh>
    <rPh sb="69" eb="70">
      <t>ヒ</t>
    </rPh>
    <rPh sb="70" eb="72">
      <t>カッセイ</t>
    </rPh>
    <rPh sb="72" eb="74">
      <t>セッテイ</t>
    </rPh>
    <rPh sb="78" eb="80">
      <t>バアイ</t>
    </rPh>
    <phoneticPr fontId="5"/>
  </si>
  <si>
    <t>・プルダウンメニューに最大桁数の値を設定した場合、設定した値が全桁表示可能なこと。</t>
    <rPh sb="11" eb="13">
      <t>サイダイ</t>
    </rPh>
    <rPh sb="13" eb="15">
      <t>ケタスウ</t>
    </rPh>
    <rPh sb="16" eb="17">
      <t>アタイ</t>
    </rPh>
    <rPh sb="18" eb="20">
      <t>セッテイ</t>
    </rPh>
    <rPh sb="22" eb="24">
      <t>バアイ</t>
    </rPh>
    <rPh sb="25" eb="27">
      <t>セッテイ</t>
    </rPh>
    <rPh sb="29" eb="30">
      <t>アタイ</t>
    </rPh>
    <rPh sb="31" eb="32">
      <t>ゼン</t>
    </rPh>
    <rPh sb="32" eb="33">
      <t>ケタ</t>
    </rPh>
    <rPh sb="33" eb="35">
      <t>ヒョウジ</t>
    </rPh>
    <rPh sb="35" eb="37">
      <t>カノウ</t>
    </rPh>
    <phoneticPr fontId="5"/>
  </si>
  <si>
    <t>・項目を追加する場合は、画面サイズを変更しても既存項目と表示が重ならないこと(メニューバー等)。</t>
    <phoneticPr fontId="5"/>
  </si>
  <si>
    <t>RT-RT-66638 京都中央信用金庫 【ITb002】画面サイズによりログイン情報表示が既存項目と重なる
→リンク、ボタンと表示が重なった場合、押下できなくなる。</t>
    <rPh sb="64" eb="66">
      <t>ヒョウジ</t>
    </rPh>
    <rPh sb="67" eb="68">
      <t>カサ</t>
    </rPh>
    <rPh sb="71" eb="73">
      <t>バアイ</t>
    </rPh>
    <rPh sb="74" eb="76">
      <t>オウカ</t>
    </rPh>
    <phoneticPr fontId="2"/>
  </si>
  <si>
    <t xml:space="preserve">・画面初期表示の際、想定データが表示されているかの確認
</t>
    <rPh sb="1" eb="3">
      <t>ガメン</t>
    </rPh>
    <rPh sb="3" eb="5">
      <t>ショキ</t>
    </rPh>
    <rPh sb="5" eb="7">
      <t>ヒョウジ</t>
    </rPh>
    <rPh sb="8" eb="9">
      <t>サイ</t>
    </rPh>
    <rPh sb="10" eb="12">
      <t>ソウテイ</t>
    </rPh>
    <rPh sb="16" eb="18">
      <t>ヒョウジ</t>
    </rPh>
    <rPh sb="25" eb="27">
      <t>カクニン</t>
    </rPh>
    <phoneticPr fontId="5"/>
  </si>
  <si>
    <t xml:space="preserve">Format
</t>
    <phoneticPr fontId="5"/>
  </si>
  <si>
    <t xml:space="preserve">・Format形式正確性の確認（表示状態、編集状態）
</t>
    <rPh sb="13" eb="15">
      <t>カクニン</t>
    </rPh>
    <phoneticPr fontId="5"/>
  </si>
  <si>
    <t>入力チェック 必須</t>
    <rPh sb="0" eb="2">
      <t>ニュウリョク</t>
    </rPh>
    <rPh sb="7" eb="9">
      <t>ヒッス</t>
    </rPh>
    <phoneticPr fontId="5"/>
  </si>
  <si>
    <t xml:space="preserve">・必須項目チェックの確認
</t>
    <rPh sb="10" eb="12">
      <t>カクニン</t>
    </rPh>
    <phoneticPr fontId="5"/>
  </si>
  <si>
    <t>入力チェック
英数、日付</t>
    <rPh sb="0" eb="2">
      <t>ニュウリョク</t>
    </rPh>
    <rPh sb="7" eb="9">
      <t>エイスウ</t>
    </rPh>
    <rPh sb="10" eb="12">
      <t>ヒヅケ</t>
    </rPh>
    <phoneticPr fontId="5"/>
  </si>
  <si>
    <t>入力チェック
桁数・範囲</t>
    <rPh sb="0" eb="2">
      <t>ニュウリョク</t>
    </rPh>
    <rPh sb="7" eb="9">
      <t>ケタスウ</t>
    </rPh>
    <rPh sb="10" eb="12">
      <t>ハンイ</t>
    </rPh>
    <phoneticPr fontId="5"/>
  </si>
  <si>
    <t>境界値、端数</t>
    <rPh sb="0" eb="2">
      <t>キョウカイ</t>
    </rPh>
    <rPh sb="2" eb="3">
      <t>アタイ</t>
    </rPh>
    <rPh sb="4" eb="6">
      <t>ハスウ</t>
    </rPh>
    <phoneticPr fontId="2"/>
  </si>
  <si>
    <t xml:space="preserve">・数値最小最大数
・金額最小最大数
・境界値の確認(±記号のテスト)&lt;画面の計上&gt;
</t>
    <rPh sb="19" eb="21">
      <t>キョウカイ</t>
    </rPh>
    <rPh sb="21" eb="22">
      <t>チ</t>
    </rPh>
    <rPh sb="23" eb="25">
      <t>カクニン</t>
    </rPh>
    <rPh sb="35" eb="37">
      <t>ガメン</t>
    </rPh>
    <rPh sb="38" eb="40">
      <t>ケイジョウ</t>
    </rPh>
    <phoneticPr fontId="5"/>
  </si>
  <si>
    <t xml:space="preserve">・プルダウン項目については、取得元マスタから画面に出力されるか確認
</t>
    <rPh sb="6" eb="8">
      <t>コウモク</t>
    </rPh>
    <rPh sb="14" eb="16">
      <t>シュトク</t>
    </rPh>
    <rPh sb="16" eb="17">
      <t>モト</t>
    </rPh>
    <rPh sb="22" eb="24">
      <t>ガメン</t>
    </rPh>
    <rPh sb="25" eb="27">
      <t>シュツリョク</t>
    </rPh>
    <rPh sb="31" eb="33">
      <t>カクニン</t>
    </rPh>
    <phoneticPr fontId="5"/>
  </si>
  <si>
    <t xml:space="preserve">・算出項目が０の場合（分母、分子含む）でもエラーとならないこと。
</t>
    <rPh sb="1" eb="3">
      <t>サンシュツ</t>
    </rPh>
    <rPh sb="3" eb="5">
      <t>コウモク</t>
    </rPh>
    <rPh sb="8" eb="10">
      <t>バアイ</t>
    </rPh>
    <rPh sb="11" eb="13">
      <t>ブンボ</t>
    </rPh>
    <rPh sb="14" eb="16">
      <t>ブンシ</t>
    </rPh>
    <rPh sb="16" eb="17">
      <t>フク</t>
    </rPh>
    <phoneticPr fontId="5"/>
  </si>
  <si>
    <t xml:space="preserve">・メッセージ表示のタイミング(ボタン押下時・フォーカスアウト時等)確認
</t>
    <rPh sb="6" eb="8">
      <t>ヒョウジ</t>
    </rPh>
    <rPh sb="18" eb="20">
      <t>オウカ</t>
    </rPh>
    <rPh sb="20" eb="21">
      <t>ジ</t>
    </rPh>
    <rPh sb="30" eb="31">
      <t>ジ</t>
    </rPh>
    <rPh sb="31" eb="32">
      <t>トウ</t>
    </rPh>
    <rPh sb="33" eb="35">
      <t>カクニン</t>
    </rPh>
    <phoneticPr fontId="5"/>
  </si>
  <si>
    <t>ページング</t>
  </si>
  <si>
    <t xml:space="preserve">・ページング・ソート・検索時に、条件保持がされるか確認
</t>
    <rPh sb="11" eb="13">
      <t>ケンサク</t>
    </rPh>
    <rPh sb="13" eb="14">
      <t>ジ</t>
    </rPh>
    <rPh sb="16" eb="18">
      <t>ジョウケン</t>
    </rPh>
    <rPh sb="18" eb="20">
      <t>ホジ</t>
    </rPh>
    <phoneticPr fontId="5"/>
  </si>
  <si>
    <t>検索</t>
    <rPh sb="0" eb="2">
      <t>ケンサク</t>
    </rPh>
    <phoneticPr fontId="5"/>
  </si>
  <si>
    <t xml:space="preserve">・検索結果が正しいことを確認
</t>
    <rPh sb="1" eb="3">
      <t>ケンサク</t>
    </rPh>
    <rPh sb="3" eb="5">
      <t>ケッカ</t>
    </rPh>
    <rPh sb="6" eb="7">
      <t>タダ</t>
    </rPh>
    <rPh sb="12" eb="14">
      <t>カクニン</t>
    </rPh>
    <phoneticPr fontId="5"/>
  </si>
  <si>
    <t xml:space="preserve">・検索後の結果で正しくソートできることを確認
</t>
    <rPh sb="1" eb="3">
      <t>ケンサク</t>
    </rPh>
    <rPh sb="3" eb="4">
      <t>ゴ</t>
    </rPh>
    <rPh sb="5" eb="7">
      <t>ケッカ</t>
    </rPh>
    <rPh sb="8" eb="9">
      <t>タダ</t>
    </rPh>
    <rPh sb="20" eb="22">
      <t>カクニン</t>
    </rPh>
    <phoneticPr fontId="5"/>
  </si>
  <si>
    <t>一覧</t>
    <rPh sb="0" eb="2">
      <t>イチラン</t>
    </rPh>
    <phoneticPr fontId="5"/>
  </si>
  <si>
    <t xml:space="preserve">・一覧への表示条件(検索キーも含む)を変更した場合、関連性のあるポータル件数や帳票、CSVファイルも件数が一致していることを確認
</t>
    <rPh sb="50" eb="52">
      <t>ケンスウ</t>
    </rPh>
    <rPh sb="53" eb="55">
      <t>イッチ</t>
    </rPh>
    <rPh sb="62" eb="64">
      <t>カクニン</t>
    </rPh>
    <phoneticPr fontId="5"/>
  </si>
  <si>
    <t>条件網羅</t>
    <rPh sb="0" eb="2">
      <t>ジョウケン</t>
    </rPh>
    <rPh sb="2" eb="4">
      <t>モウラ</t>
    </rPh>
    <phoneticPr fontId="5"/>
  </si>
  <si>
    <t xml:space="preserve">・条件網羅されていることの確認
</t>
    <rPh sb="1" eb="3">
      <t>ジョウケン</t>
    </rPh>
    <rPh sb="3" eb="5">
      <t>モウラ</t>
    </rPh>
    <rPh sb="13" eb="15">
      <t>カクニン</t>
    </rPh>
    <phoneticPr fontId="5"/>
  </si>
  <si>
    <t>画面遷移</t>
    <rPh sb="0" eb="2">
      <t>ガメン</t>
    </rPh>
    <rPh sb="2" eb="4">
      <t>センイ</t>
    </rPh>
    <phoneticPr fontId="5"/>
  </si>
  <si>
    <t xml:space="preserve">・画面遷移先が想定の画面であることを確認
</t>
    <rPh sb="1" eb="3">
      <t>ガメン</t>
    </rPh>
    <rPh sb="3" eb="5">
      <t>センイ</t>
    </rPh>
    <rPh sb="5" eb="6">
      <t>サキ</t>
    </rPh>
    <rPh sb="7" eb="9">
      <t>ソウテイ</t>
    </rPh>
    <rPh sb="10" eb="12">
      <t>ガメン</t>
    </rPh>
    <rPh sb="18" eb="20">
      <t>カクニン</t>
    </rPh>
    <phoneticPr fontId="5"/>
  </si>
  <si>
    <t xml:space="preserve">・画面項目が正しくDBに反映されることの確認
</t>
    <rPh sb="20" eb="22">
      <t>カクニン</t>
    </rPh>
    <phoneticPr fontId="5"/>
  </si>
  <si>
    <t>パフォーマンス</t>
  </si>
  <si>
    <t xml:space="preserve">・パフォーマンスの確認
</t>
    <rPh sb="9" eb="11">
      <t>カクニン</t>
    </rPh>
    <phoneticPr fontId="5"/>
  </si>
  <si>
    <t xml:space="preserve">・ユーザレベルのパターンで登録・変更・削除・参照可否の確認
</t>
    <rPh sb="13" eb="15">
      <t>トウロク</t>
    </rPh>
    <rPh sb="16" eb="18">
      <t>ヘンコウ</t>
    </rPh>
    <rPh sb="19" eb="21">
      <t>サクジョ</t>
    </rPh>
    <rPh sb="22" eb="24">
      <t>サンショウ</t>
    </rPh>
    <rPh sb="24" eb="26">
      <t>カヒ</t>
    </rPh>
    <rPh sb="27" eb="29">
      <t>カクニン</t>
    </rPh>
    <phoneticPr fontId="5"/>
  </si>
  <si>
    <t>エラー</t>
    <phoneticPr fontId="2"/>
  </si>
  <si>
    <t xml:space="preserve">・エラーメッセージ表示後、登録/更新オペレーションが実施できないことを確認
</t>
    <rPh sb="9" eb="11">
      <t>ヒョウジ</t>
    </rPh>
    <rPh sb="11" eb="12">
      <t>ゴ</t>
    </rPh>
    <rPh sb="13" eb="15">
      <t>トウロク</t>
    </rPh>
    <rPh sb="16" eb="18">
      <t>コウシン</t>
    </rPh>
    <rPh sb="26" eb="28">
      <t>ジッシ</t>
    </rPh>
    <rPh sb="35" eb="37">
      <t>カクニン</t>
    </rPh>
    <phoneticPr fontId="5"/>
  </si>
  <si>
    <t>不正値の状態で値の登録が可能となる可能性がある。
詳細はRT-RT-35535参照</t>
    <phoneticPr fontId="2"/>
  </si>
  <si>
    <t>帳票</t>
    <rPh sb="0" eb="2">
      <t>チョウヒョウ</t>
    </rPh>
    <phoneticPr fontId="5"/>
  </si>
  <si>
    <t>帳票構成</t>
    <rPh sb="0" eb="2">
      <t>チョウヒョウ</t>
    </rPh>
    <rPh sb="2" eb="4">
      <t>コウセイ</t>
    </rPh>
    <phoneticPr fontId="5"/>
  </si>
  <si>
    <t xml:space="preserve">・帳票レイアウトの確認
・ラベル文字の確認
・文字位置の確認
・罫線の確認 
※編集対象外も含むレイアウト確認
</t>
    <rPh sb="1" eb="3">
      <t>チョウヒョウ</t>
    </rPh>
    <rPh sb="23" eb="25">
      <t>モジ</t>
    </rPh>
    <rPh sb="25" eb="27">
      <t>イチ</t>
    </rPh>
    <rPh sb="32" eb="34">
      <t>ケイセン</t>
    </rPh>
    <rPh sb="35" eb="37">
      <t>カクニン</t>
    </rPh>
    <rPh sb="40" eb="42">
      <t>ヘンシュウ</t>
    </rPh>
    <rPh sb="42" eb="45">
      <t>タイショウガイ</t>
    </rPh>
    <rPh sb="46" eb="47">
      <t>フク</t>
    </rPh>
    <rPh sb="53" eb="55">
      <t>カクニン</t>
    </rPh>
    <phoneticPr fontId="5"/>
  </si>
  <si>
    <r>
      <t xml:space="preserve">Rシートレイアウトについて「Rシートルール.xls」をチェックしている
・帳票レイアウト
・ラベル文字
・文字位置
・罫線の定義（編集対象外も含むレイアウト確認）
・セル初期フォーカス位置
※修正前と修正後でレイアウト比較確認を実施し、修正箇所以外は修正前と同様であること確認(印刷も行い確認)
</t>
    </r>
    <r>
      <rPr>
        <b/>
        <sz val="11"/>
        <rFont val="Meiryo UI"/>
        <family val="3"/>
        <charset val="128"/>
      </rPr>
      <t>・印刷した帳票に確認を実施した箇所にチェックを付与し、手書きしたものをPDF化して、テスト結果に含める。</t>
    </r>
    <r>
      <rPr>
        <sz val="11"/>
        <rFont val="Meiryo UI"/>
        <family val="3"/>
        <charset val="128"/>
      </rPr>
      <t xml:space="preserve">
</t>
    </r>
    <rPh sb="85" eb="87">
      <t>ショキ</t>
    </rPh>
    <rPh sb="92" eb="94">
      <t>イチ</t>
    </rPh>
    <rPh sb="139" eb="141">
      <t>インサツ</t>
    </rPh>
    <rPh sb="142" eb="143">
      <t>オコナ</t>
    </rPh>
    <rPh sb="144" eb="146">
      <t>カクニン</t>
    </rPh>
    <rPh sb="149" eb="151">
      <t>インサツ</t>
    </rPh>
    <rPh sb="153" eb="155">
      <t>チョウヒョウ</t>
    </rPh>
    <rPh sb="156" eb="158">
      <t>カクニン</t>
    </rPh>
    <rPh sb="159" eb="161">
      <t>ジッシ</t>
    </rPh>
    <rPh sb="163" eb="165">
      <t>カショ</t>
    </rPh>
    <rPh sb="171" eb="173">
      <t>フヨ</t>
    </rPh>
    <rPh sb="175" eb="177">
      <t>テガ</t>
    </rPh>
    <rPh sb="186" eb="187">
      <t>カ</t>
    </rPh>
    <rPh sb="193" eb="195">
      <t>ケッカ</t>
    </rPh>
    <rPh sb="196" eb="197">
      <t>フク</t>
    </rPh>
    <phoneticPr fontId="2"/>
  </si>
  <si>
    <t>修正後のテンプレートを保存する際に、エクセルが自動的にHTM形式へ変換を行うため、予期しない修正内容となる可能性ある。そのため罫線が自動的に損失してしまう事象が発生する。（RT-RT-35972）
エクセルの表示上は問題なくても、印刷した場合、文言の一部が切れることがある。（RT-RT-45371）</t>
    <rPh sb="105" eb="107">
      <t>ヒョウジ</t>
    </rPh>
    <rPh sb="107" eb="108">
      <t>ジョウ</t>
    </rPh>
    <rPh sb="109" eb="111">
      <t>モンダイ</t>
    </rPh>
    <rPh sb="116" eb="118">
      <t>インサツ</t>
    </rPh>
    <rPh sb="120" eb="122">
      <t>バアイ</t>
    </rPh>
    <rPh sb="123" eb="125">
      <t>モンゴン</t>
    </rPh>
    <rPh sb="126" eb="128">
      <t>イチブ</t>
    </rPh>
    <rPh sb="129" eb="130">
      <t>キ</t>
    </rPh>
    <phoneticPr fontId="2"/>
  </si>
  <si>
    <t xml:space="preserve">Rシートレイアウトのセルの保護について、修正前後で保護を行なうセル、保護を行なわないセルに相違がないことを確認する。テスト結果に含める。
※エクセルの関数（=CELL("protect",A1)=0）によって、保護を行なっていないセルを把握することが可能。操作手順については、セル保護確認方法【参考】シートを参照。
</t>
    <rPh sb="13" eb="15">
      <t>ホゴ</t>
    </rPh>
    <rPh sb="20" eb="22">
      <t>シュウセイ</t>
    </rPh>
    <rPh sb="22" eb="24">
      <t>ゼンゴ</t>
    </rPh>
    <rPh sb="25" eb="27">
      <t>ホゴ</t>
    </rPh>
    <rPh sb="28" eb="29">
      <t>オコ</t>
    </rPh>
    <rPh sb="34" eb="36">
      <t>ホゴ</t>
    </rPh>
    <rPh sb="37" eb="38">
      <t>オコ</t>
    </rPh>
    <rPh sb="45" eb="47">
      <t>ソウイ</t>
    </rPh>
    <rPh sb="53" eb="55">
      <t>カクニン</t>
    </rPh>
    <rPh sb="61" eb="63">
      <t>ケッカ</t>
    </rPh>
    <rPh sb="64" eb="65">
      <t>フク</t>
    </rPh>
    <rPh sb="75" eb="77">
      <t>カンスウ</t>
    </rPh>
    <rPh sb="105" eb="107">
      <t>ホゴ</t>
    </rPh>
    <rPh sb="108" eb="109">
      <t>オコ</t>
    </rPh>
    <rPh sb="118" eb="120">
      <t>ハアク</t>
    </rPh>
    <rPh sb="125" eb="127">
      <t>カノウ</t>
    </rPh>
    <rPh sb="128" eb="130">
      <t>ソウサ</t>
    </rPh>
    <rPh sb="130" eb="132">
      <t>テジュン</t>
    </rPh>
    <rPh sb="154" eb="156">
      <t>サンショウ</t>
    </rPh>
    <phoneticPr fontId="2"/>
  </si>
  <si>
    <t>レイアウトを変更した結果、想定外にセルの保護設定が変更されてしまう。（RT-RT-45603）</t>
    <rPh sb="6" eb="8">
      <t>ヘンコウ</t>
    </rPh>
    <rPh sb="10" eb="12">
      <t>ケッカ</t>
    </rPh>
    <rPh sb="13" eb="15">
      <t>ソウテイ</t>
    </rPh>
    <rPh sb="15" eb="16">
      <t>ガイ</t>
    </rPh>
    <rPh sb="20" eb="22">
      <t>ホゴ</t>
    </rPh>
    <rPh sb="22" eb="24">
      <t>セッテイ</t>
    </rPh>
    <rPh sb="25" eb="27">
      <t>ヘンコウ</t>
    </rPh>
    <phoneticPr fontId="2"/>
  </si>
  <si>
    <t xml:space="preserve">・RSheetの場合、編集できる状態になっているか、編集できない状態の定義
</t>
    <rPh sb="8" eb="10">
      <t>バアイ</t>
    </rPh>
    <rPh sb="26" eb="28">
      <t>ヘンシュウ</t>
    </rPh>
    <rPh sb="32" eb="34">
      <t>ジョウタイ</t>
    </rPh>
    <rPh sb="35" eb="37">
      <t>テイギ</t>
    </rPh>
    <phoneticPr fontId="5"/>
  </si>
  <si>
    <t xml:space="preserve">・RSheetの場合、導入金融機関様本番環境（クライアント環境を含む）を想定した環境におけるダウンロードの確認。
（特に「RSheet帳票バージョン情報保持ファイル」の状態には注意）
</t>
    <rPh sb="8" eb="10">
      <t>バアイ</t>
    </rPh>
    <rPh sb="11" eb="13">
      <t>ドウニュウ</t>
    </rPh>
    <rPh sb="13" eb="15">
      <t>キンユウ</t>
    </rPh>
    <rPh sb="15" eb="17">
      <t>キカン</t>
    </rPh>
    <rPh sb="17" eb="18">
      <t>サマ</t>
    </rPh>
    <rPh sb="18" eb="20">
      <t>ホンバン</t>
    </rPh>
    <rPh sb="20" eb="22">
      <t>カンキョウ</t>
    </rPh>
    <rPh sb="32" eb="33">
      <t>フク</t>
    </rPh>
    <rPh sb="36" eb="38">
      <t>ソウテイ</t>
    </rPh>
    <rPh sb="40" eb="42">
      <t>カンキョウ</t>
    </rPh>
    <rPh sb="53" eb="55">
      <t>カクニン</t>
    </rPh>
    <rPh sb="58" eb="59">
      <t>トク</t>
    </rPh>
    <rPh sb="84" eb="86">
      <t>ジョウタイ</t>
    </rPh>
    <rPh sb="88" eb="90">
      <t>チュウイ</t>
    </rPh>
    <phoneticPr fontId="5"/>
  </si>
  <si>
    <t>RSheetのフォーマットを修正した場合は、全ての「$TBLxxx」を抽出した上で、全ての項目に対して出力確認を行なう。
RSHEETのテンプレートを修正した場合は、以下の確認を実施する。
・レイアウト変更があった場合、新旧テンプレートを使用して全項目値を出力し、修正箇所以外の差分がないことを確
　認する。
・上記以外の場合、新旧テンプレートの設定値をテキストに貼り付けて比較し、修正箇所以外の差分がないことを確
　認する。</t>
    <rPh sb="14" eb="16">
      <t>シュウセイ</t>
    </rPh>
    <rPh sb="18" eb="20">
      <t>バアイ</t>
    </rPh>
    <rPh sb="22" eb="23">
      <t>スベ</t>
    </rPh>
    <rPh sb="35" eb="37">
      <t>チュウシュツ</t>
    </rPh>
    <rPh sb="39" eb="40">
      <t>ウエ</t>
    </rPh>
    <rPh sb="42" eb="43">
      <t>スベ</t>
    </rPh>
    <rPh sb="45" eb="47">
      <t>コウモク</t>
    </rPh>
    <rPh sb="48" eb="49">
      <t>タイ</t>
    </rPh>
    <rPh sb="51" eb="53">
      <t>シュツリョク</t>
    </rPh>
    <rPh sb="53" eb="55">
      <t>カクニン</t>
    </rPh>
    <rPh sb="56" eb="57">
      <t>オコ</t>
    </rPh>
    <phoneticPr fontId="5"/>
  </si>
  <si>
    <t>未表示項目の確認が漏れる可能性ある。詳細はRT-RT-40667を参照</t>
    <phoneticPr fontId="2"/>
  </si>
  <si>
    <t xml:space="preserve">・表示データ内容の確認
（記号、金額のカンマ、日付、%表示、小数点のデータが想定通りに出力されていることも含む）
</t>
    <rPh sb="1" eb="3">
      <t>ヒョウジ</t>
    </rPh>
    <rPh sb="6" eb="8">
      <t>ナイヨウ</t>
    </rPh>
    <rPh sb="9" eb="11">
      <t>カクニン</t>
    </rPh>
    <rPh sb="13" eb="15">
      <t>キゴウ</t>
    </rPh>
    <rPh sb="32" eb="33">
      <t>テン</t>
    </rPh>
    <rPh sb="38" eb="40">
      <t>ソウテイ</t>
    </rPh>
    <rPh sb="40" eb="41">
      <t>ドオ</t>
    </rPh>
    <rPh sb="43" eb="45">
      <t>シュツリョク</t>
    </rPh>
    <rPh sb="53" eb="54">
      <t>フク</t>
    </rPh>
    <phoneticPr fontId="5"/>
  </si>
  <si>
    <t xml:space="preserve">・表示データが該当する画面項目と完全に一致することを確認。
　※数字項目の場合、正の数、負の数が一致することまで確認。
</t>
    <rPh sb="1" eb="3">
      <t>ヒョウジ</t>
    </rPh>
    <rPh sb="7" eb="9">
      <t>ガイトウ</t>
    </rPh>
    <rPh sb="11" eb="13">
      <t>ガメン</t>
    </rPh>
    <rPh sb="13" eb="15">
      <t>コウモク</t>
    </rPh>
    <rPh sb="16" eb="18">
      <t>カンゼン</t>
    </rPh>
    <rPh sb="19" eb="21">
      <t>イッチ</t>
    </rPh>
    <rPh sb="26" eb="28">
      <t>カクニン</t>
    </rPh>
    <rPh sb="32" eb="36">
      <t>スウジコウモク</t>
    </rPh>
    <rPh sb="37" eb="39">
      <t>バアイ</t>
    </rPh>
    <rPh sb="40" eb="41">
      <t>セイ</t>
    </rPh>
    <rPh sb="42" eb="43">
      <t>カズ</t>
    </rPh>
    <rPh sb="44" eb="45">
      <t>フ</t>
    </rPh>
    <rPh sb="46" eb="47">
      <t>カズ</t>
    </rPh>
    <rPh sb="48" eb="50">
      <t>イッチ</t>
    </rPh>
    <rPh sb="56" eb="58">
      <t>カクニン</t>
    </rPh>
    <phoneticPr fontId="5"/>
  </si>
  <si>
    <t>画面と帳票で出力内容がずれる可能性がある。（RT-RT-40913）</t>
    <rPh sb="0" eb="2">
      <t>ガメン</t>
    </rPh>
    <rPh sb="3" eb="5">
      <t>チョウヒョウ</t>
    </rPh>
    <rPh sb="6" eb="10">
      <t>シュツリョクナイヨウ</t>
    </rPh>
    <rPh sb="14" eb="17">
      <t>カノウセイ</t>
    </rPh>
    <phoneticPr fontId="2"/>
  </si>
  <si>
    <t>・和暦表示データ内容の確認
西暦2030年以降の値が正しく和暦に変換されることを確認。</t>
    <rPh sb="14" eb="16">
      <t>セイレキ</t>
    </rPh>
    <rPh sb="20" eb="23">
      <t>ネンイコウ</t>
    </rPh>
    <rPh sb="24" eb="25">
      <t>アタイ</t>
    </rPh>
    <rPh sb="26" eb="27">
      <t>タダ</t>
    </rPh>
    <rPh sb="29" eb="31">
      <t>ワレキ</t>
    </rPh>
    <rPh sb="32" eb="34">
      <t>ヘンカン</t>
    </rPh>
    <rPh sb="40" eb="42">
      <t>カクニン</t>
    </rPh>
    <phoneticPr fontId="2"/>
  </si>
  <si>
    <t>和暦の値が誤って表示される可能性がある（RT-RT-46754）</t>
    <rPh sb="0" eb="2">
      <t>ワレキ</t>
    </rPh>
    <rPh sb="3" eb="4">
      <t>アタイ</t>
    </rPh>
    <rPh sb="5" eb="6">
      <t>アヤマ</t>
    </rPh>
    <rPh sb="8" eb="10">
      <t>ヒョウジ</t>
    </rPh>
    <rPh sb="13" eb="16">
      <t>カノウセイ</t>
    </rPh>
    <phoneticPr fontId="2"/>
  </si>
  <si>
    <t xml:space="preserve">・Format形式正確性の確認（NULL,フォーマット変換、項目変換など）
</t>
    <rPh sb="13" eb="15">
      <t>カクニン</t>
    </rPh>
    <rPh sb="27" eb="29">
      <t>ヘンカン</t>
    </rPh>
    <rPh sb="30" eb="32">
      <t>コウモク</t>
    </rPh>
    <rPh sb="32" eb="34">
      <t>ヘンカン</t>
    </rPh>
    <phoneticPr fontId="5"/>
  </si>
  <si>
    <t xml:space="preserve">・最小最大数の確認(文字数)
</t>
    <rPh sb="1" eb="3">
      <t>サイショウ</t>
    </rPh>
    <rPh sb="3" eb="5">
      <t>サイダイ</t>
    </rPh>
    <rPh sb="5" eb="6">
      <t>カズ</t>
    </rPh>
    <rPh sb="7" eb="9">
      <t>カクニン</t>
    </rPh>
    <rPh sb="10" eb="13">
      <t>モジスウ</t>
    </rPh>
    <phoneticPr fontId="5"/>
  </si>
  <si>
    <t>境界値に関する記載は画面と同じ記載に寄せる
2-10端数処理の記載を帳票にも追加する</t>
    <rPh sb="0" eb="3">
      <t>キョウカイチ</t>
    </rPh>
    <rPh sb="4" eb="5">
      <t>カン</t>
    </rPh>
    <rPh sb="7" eb="9">
      <t>キサイ</t>
    </rPh>
    <rPh sb="10" eb="12">
      <t>ガメン</t>
    </rPh>
    <rPh sb="13" eb="14">
      <t>オナ</t>
    </rPh>
    <rPh sb="15" eb="17">
      <t>キサイ</t>
    </rPh>
    <rPh sb="18" eb="19">
      <t>ヨ</t>
    </rPh>
    <rPh sb="26" eb="30">
      <t>ハスウショリ</t>
    </rPh>
    <rPh sb="31" eb="33">
      <t>キサイ</t>
    </rPh>
    <rPh sb="34" eb="36">
      <t>チョウヒョウ</t>
    </rPh>
    <rPh sb="38" eb="40">
      <t>ツイカ</t>
    </rPh>
    <phoneticPr fontId="61"/>
  </si>
  <si>
    <t xml:space="preserve">・数値最小最大数
・金額最小最大数
・境界値の確認(±記号のテスト)
</t>
    <rPh sb="3" eb="5">
      <t>サイショウ</t>
    </rPh>
    <rPh sb="5" eb="7">
      <t>サイダイ</t>
    </rPh>
    <rPh sb="7" eb="8">
      <t>スウ</t>
    </rPh>
    <rPh sb="19" eb="21">
      <t>キョウカイ</t>
    </rPh>
    <rPh sb="21" eb="22">
      <t>チ</t>
    </rPh>
    <rPh sb="23" eb="25">
      <t>カクニン</t>
    </rPh>
    <phoneticPr fontId="5"/>
  </si>
  <si>
    <t>・端数処理の確認
・少数値が存在する場合は、少数値がゼロ以外の値でも確認する。
・他の処理から計算ロジックを流用した場合でも、端数処理を確認する。</t>
    <rPh sb="1" eb="3">
      <t>ハスウ</t>
    </rPh>
    <rPh sb="3" eb="5">
      <t>ショリ</t>
    </rPh>
    <rPh sb="6" eb="8">
      <t>カクニン</t>
    </rPh>
    <rPh sb="22" eb="24">
      <t>ショウスウ</t>
    </rPh>
    <rPh sb="24" eb="25">
      <t>チ</t>
    </rPh>
    <rPh sb="34" eb="36">
      <t>カクニン</t>
    </rPh>
    <rPh sb="68" eb="70">
      <t>カクニン</t>
    </rPh>
    <phoneticPr fontId="5"/>
  </si>
  <si>
    <t xml:space="preserve">・抽出データが０件の場合でもエラーとならないこと
</t>
    <rPh sb="1" eb="3">
      <t>チュウシュツ</t>
    </rPh>
    <rPh sb="8" eb="9">
      <t>ケン</t>
    </rPh>
    <rPh sb="10" eb="12">
      <t>バアイ</t>
    </rPh>
    <phoneticPr fontId="5"/>
  </si>
  <si>
    <t xml:space="preserve">・算出項目がNULLの場合でもエラーとならないこと。
</t>
    <rPh sb="1" eb="3">
      <t>サンシュツ</t>
    </rPh>
    <rPh sb="3" eb="5">
      <t>コウモク</t>
    </rPh>
    <rPh sb="11" eb="13">
      <t>バアイ</t>
    </rPh>
    <phoneticPr fontId="5"/>
  </si>
  <si>
    <t>表示</t>
    <rPh sb="0" eb="2">
      <t>ヒョウジ</t>
    </rPh>
    <phoneticPr fontId="5"/>
  </si>
  <si>
    <t xml:space="preserve">・SPANタグ挿入によるデータ導出タグ &amp;{TBL_xxx}が残っていない事を確認する。（R-Sheet）
</t>
    <rPh sb="7" eb="9">
      <t>ソウニュウ</t>
    </rPh>
    <rPh sb="15" eb="17">
      <t>ドウシュツ</t>
    </rPh>
    <rPh sb="31" eb="32">
      <t>ノコ</t>
    </rPh>
    <rPh sb="37" eb="38">
      <t>コト</t>
    </rPh>
    <rPh sb="39" eb="41">
      <t>カクニン</t>
    </rPh>
    <phoneticPr fontId="5"/>
  </si>
  <si>
    <t>印刷</t>
    <rPh sb="0" eb="2">
      <t>インサツ</t>
    </rPh>
    <phoneticPr fontId="5"/>
  </si>
  <si>
    <t xml:space="preserve">・帳票を印刷して、印刷範囲に問題がない事を確認。
・文字切れ等も発生してない事を確認。
</t>
    <rPh sb="1" eb="3">
      <t>チョウヒョウ</t>
    </rPh>
    <rPh sb="4" eb="6">
      <t>インサツ</t>
    </rPh>
    <rPh sb="9" eb="11">
      <t>インサツ</t>
    </rPh>
    <rPh sb="11" eb="13">
      <t>ハンイ</t>
    </rPh>
    <rPh sb="14" eb="16">
      <t>モンダイ</t>
    </rPh>
    <rPh sb="19" eb="20">
      <t>コト</t>
    </rPh>
    <rPh sb="21" eb="23">
      <t>カクニン</t>
    </rPh>
    <rPh sb="26" eb="28">
      <t>モジ</t>
    </rPh>
    <rPh sb="28" eb="29">
      <t>キ</t>
    </rPh>
    <rPh sb="30" eb="31">
      <t>トウ</t>
    </rPh>
    <rPh sb="32" eb="34">
      <t>ハッセイ</t>
    </rPh>
    <rPh sb="38" eb="39">
      <t>コト</t>
    </rPh>
    <rPh sb="40" eb="42">
      <t>カクニン</t>
    </rPh>
    <phoneticPr fontId="5"/>
  </si>
  <si>
    <t xml:space="preserve">・修正前後で、帳票を印刷して問題がない事を確認する。
</t>
    <rPh sb="1" eb="3">
      <t>シュウセイ</t>
    </rPh>
    <rPh sb="3" eb="5">
      <t>ゼンゴ</t>
    </rPh>
    <rPh sb="7" eb="9">
      <t>チョウヒョウ</t>
    </rPh>
    <rPh sb="10" eb="12">
      <t>インサツ</t>
    </rPh>
    <rPh sb="14" eb="16">
      <t>モンダイ</t>
    </rPh>
    <rPh sb="19" eb="20">
      <t>コト</t>
    </rPh>
    <rPh sb="21" eb="23">
      <t>カクニン</t>
    </rPh>
    <phoneticPr fontId="5"/>
  </si>
  <si>
    <t>その他</t>
    <rPh sb="2" eb="3">
      <t>タ</t>
    </rPh>
    <phoneticPr fontId="5"/>
  </si>
  <si>
    <t xml:space="preserve">・データが存在している場合と存在してない場合で問題がないことを確認する。
</t>
    <rPh sb="5" eb="7">
      <t>ソンザイ</t>
    </rPh>
    <rPh sb="11" eb="13">
      <t>バアイ</t>
    </rPh>
    <rPh sb="14" eb="16">
      <t>ソンザイ</t>
    </rPh>
    <rPh sb="20" eb="22">
      <t>バアイ</t>
    </rPh>
    <rPh sb="23" eb="25">
      <t>モンダイ</t>
    </rPh>
    <rPh sb="31" eb="33">
      <t>カクニン</t>
    </rPh>
    <phoneticPr fontId="5"/>
  </si>
  <si>
    <t xml:space="preserve">・パフォーマンスを確認する
</t>
    <rPh sb="9" eb="11">
      <t>カクニン</t>
    </rPh>
    <phoneticPr fontId="5"/>
  </si>
  <si>
    <t>バッチ</t>
  </si>
  <si>
    <t xml:space="preserve">・パラメータによって、実行結果が正しくDBに反映されることを確認する
</t>
    <rPh sb="30" eb="32">
      <t>カクニン</t>
    </rPh>
    <phoneticPr fontId="5"/>
  </si>
  <si>
    <t>画面</t>
  </si>
  <si>
    <t>実行方式</t>
  </si>
  <si>
    <t xml:space="preserve">・画面から呼び出すバッチの実行結果が想定通りであることを確認する。
※引数、実行結果、実行結果の画面への表示等
</t>
    <rPh sb="18" eb="20">
      <t>ソウテイ</t>
    </rPh>
    <rPh sb="20" eb="21">
      <t>ドオ</t>
    </rPh>
    <rPh sb="28" eb="30">
      <t>カクニン</t>
    </rPh>
    <rPh sb="35" eb="37">
      <t>ヒキスウ</t>
    </rPh>
    <rPh sb="38" eb="40">
      <t>ジッコウ</t>
    </rPh>
    <rPh sb="40" eb="42">
      <t>ケッカ</t>
    </rPh>
    <rPh sb="43" eb="45">
      <t>ジッコウ</t>
    </rPh>
    <rPh sb="45" eb="47">
      <t>ケッカ</t>
    </rPh>
    <rPh sb="48" eb="50">
      <t>ガメン</t>
    </rPh>
    <rPh sb="52" eb="54">
      <t>ヒョウジ</t>
    </rPh>
    <rPh sb="54" eb="55">
      <t>ナド</t>
    </rPh>
    <phoneticPr fontId="5"/>
  </si>
  <si>
    <t xml:space="preserve">論理チェック
</t>
    <phoneticPr fontId="2"/>
  </si>
  <si>
    <t>・不正な日付を取り込まないようにする。("00000000","99999999" etc)</t>
    <phoneticPr fontId="2"/>
  </si>
  <si>
    <t>パフォーマンス</t>
    <phoneticPr fontId="61"/>
  </si>
  <si>
    <t xml:space="preserve">・パフォーマンスの確認（想定時間内にすべての処理が終了すること）
</t>
    <rPh sb="9" eb="11">
      <t>カクニン</t>
    </rPh>
    <rPh sb="12" eb="14">
      <t>ソウテイ</t>
    </rPh>
    <rPh sb="14" eb="16">
      <t>ジカン</t>
    </rPh>
    <rPh sb="16" eb="17">
      <t>ナイ</t>
    </rPh>
    <rPh sb="22" eb="24">
      <t>ショリ</t>
    </rPh>
    <rPh sb="25" eb="27">
      <t>シュウリョウ</t>
    </rPh>
    <phoneticPr fontId="5"/>
  </si>
  <si>
    <t>リカバリー</t>
  </si>
  <si>
    <t xml:space="preserve">・エラー時に当該ジョブが終了するのかスキップなのかを確認する。
</t>
    <rPh sb="4" eb="5">
      <t>ジ</t>
    </rPh>
    <rPh sb="6" eb="8">
      <t>トウガイ</t>
    </rPh>
    <rPh sb="12" eb="14">
      <t>シュウリョウ</t>
    </rPh>
    <rPh sb="26" eb="28">
      <t>カクニン</t>
    </rPh>
    <phoneticPr fontId="5"/>
  </si>
  <si>
    <t>システムログ出力</t>
    <rPh sb="6" eb="8">
      <t>シュツリョク</t>
    </rPh>
    <phoneticPr fontId="5"/>
  </si>
  <si>
    <t xml:space="preserve">・エラー発生時、システムログにエラーメッセージが出力されていることの確認
</t>
    <rPh sb="4" eb="7">
      <t>ハッセイジ</t>
    </rPh>
    <rPh sb="24" eb="26">
      <t>シュツリョク</t>
    </rPh>
    <rPh sb="34" eb="36">
      <t>カクニン</t>
    </rPh>
    <phoneticPr fontId="5"/>
  </si>
  <si>
    <t xml:space="preserve">ジョブの追加・変更・削除の確認
・修正したステップだけでなくすべてのステップについて差分を確認する。
・削除したステップを参照しているステップがないか確認する。
・日次バッチ処理、月次バッチ処理、それぞれについて稼動確認を実施する。
・Agentにステップを追加・削除する場合は、後続ステップの成功時／失敗時の遷移先が修正前と変わらないことを確認する
</t>
    <rPh sb="4" eb="6">
      <t>ツイカ</t>
    </rPh>
    <rPh sb="7" eb="9">
      <t>ヘンコウ</t>
    </rPh>
    <rPh sb="10" eb="12">
      <t>サクジョ</t>
    </rPh>
    <rPh sb="13" eb="15">
      <t>カクニン</t>
    </rPh>
    <rPh sb="17" eb="19">
      <t>シュウセイ</t>
    </rPh>
    <rPh sb="42" eb="44">
      <t>サブン</t>
    </rPh>
    <rPh sb="45" eb="47">
      <t>カクニン</t>
    </rPh>
    <rPh sb="75" eb="77">
      <t>カクニン</t>
    </rPh>
    <rPh sb="82" eb="84">
      <t>ニチジ</t>
    </rPh>
    <rPh sb="87" eb="89">
      <t>ショリ</t>
    </rPh>
    <rPh sb="90" eb="92">
      <t>ゲツジ</t>
    </rPh>
    <rPh sb="95" eb="97">
      <t>ショリ</t>
    </rPh>
    <rPh sb="106" eb="108">
      <t>カドウ</t>
    </rPh>
    <rPh sb="108" eb="110">
      <t>カクニン</t>
    </rPh>
    <rPh sb="111" eb="113">
      <t>ジッシ</t>
    </rPh>
    <phoneticPr fontId="5"/>
  </si>
  <si>
    <t>ジョブスケジューラー</t>
  </si>
  <si>
    <t xml:space="preserve">・ジョブがスケジュール通り起動することを確認
</t>
    <rPh sb="11" eb="12">
      <t>ドオ</t>
    </rPh>
    <rPh sb="13" eb="15">
      <t>キドウ</t>
    </rPh>
    <rPh sb="20" eb="22">
      <t>カクニン</t>
    </rPh>
    <phoneticPr fontId="5"/>
  </si>
  <si>
    <t xml:space="preserve">・同時稼動を避けるべき処理が同じ時間帯に稼動する設定となっていないことを確認
　（Ex．トランザクションログバックアップと夜間バッチ処理等）
</t>
    <rPh sb="1" eb="3">
      <t>ドウジ</t>
    </rPh>
    <rPh sb="36" eb="38">
      <t>カクニン</t>
    </rPh>
    <phoneticPr fontId="5"/>
  </si>
  <si>
    <t>ユーザデータ取込</t>
    <rPh sb="6" eb="8">
      <t>トリコミ</t>
    </rPh>
    <phoneticPr fontId="5"/>
  </si>
  <si>
    <t xml:space="preserve">・同一ユーザ番号が複数店に存在するパターンでも確認する
</t>
    <phoneticPr fontId="2"/>
  </si>
  <si>
    <t>2-78</t>
  </si>
  <si>
    <t>IFデータ取込</t>
    <rPh sb="5" eb="7">
      <t>トリコミ</t>
    </rPh>
    <phoneticPr fontId="2"/>
  </si>
  <si>
    <t>・IF取込における設定定義を変更した場合、全項目について正しく取込まれることを確認する。※特に後続項目は要確認</t>
    <rPh sb="3" eb="5">
      <t>トリコミ</t>
    </rPh>
    <rPh sb="9" eb="11">
      <t>セッテイ</t>
    </rPh>
    <rPh sb="11" eb="13">
      <t>テイギ</t>
    </rPh>
    <rPh sb="14" eb="16">
      <t>ヘンコウ</t>
    </rPh>
    <rPh sb="18" eb="20">
      <t>バアイ</t>
    </rPh>
    <rPh sb="21" eb="23">
      <t>ゼンコウ</t>
    </rPh>
    <rPh sb="23" eb="24">
      <t>モク</t>
    </rPh>
    <rPh sb="28" eb="29">
      <t>タダ</t>
    </rPh>
    <rPh sb="31" eb="33">
      <t>トリコ</t>
    </rPh>
    <rPh sb="39" eb="41">
      <t>カクニン</t>
    </rPh>
    <rPh sb="45" eb="46">
      <t>トク</t>
    </rPh>
    <rPh sb="47" eb="49">
      <t>コウゾク</t>
    </rPh>
    <rPh sb="49" eb="51">
      <t>コウモク</t>
    </rPh>
    <rPh sb="52" eb="53">
      <t>ヨウ</t>
    </rPh>
    <rPh sb="53" eb="55">
      <t>カクニン</t>
    </rPh>
    <phoneticPr fontId="2"/>
  </si>
  <si>
    <t>2-79</t>
  </si>
  <si>
    <t>ファイルコピー処理</t>
    <rPh sb="7" eb="9">
      <t>ショリ</t>
    </rPh>
    <phoneticPr fontId="5"/>
  </si>
  <si>
    <t xml:space="preserve">・ファイルコピー処理を含む場合は、コピー先ディレクトリに同一ファイルが存在した場合のケースについても確認する
</t>
    <rPh sb="8" eb="10">
      <t>ショリ</t>
    </rPh>
    <rPh sb="11" eb="12">
      <t>フク</t>
    </rPh>
    <rPh sb="13" eb="15">
      <t>バアイ</t>
    </rPh>
    <rPh sb="20" eb="21">
      <t>サキ</t>
    </rPh>
    <rPh sb="28" eb="30">
      <t>ドウイツ</t>
    </rPh>
    <rPh sb="35" eb="37">
      <t>ソンザイ</t>
    </rPh>
    <rPh sb="39" eb="41">
      <t>バアイ</t>
    </rPh>
    <rPh sb="50" eb="52">
      <t>カクニン</t>
    </rPh>
    <phoneticPr fontId="2"/>
  </si>
  <si>
    <t>2-80</t>
  </si>
  <si>
    <t>CSV</t>
  </si>
  <si>
    <t>出力値</t>
    <rPh sb="0" eb="2">
      <t>シュツリョク</t>
    </rPh>
    <rPh sb="2" eb="3">
      <t>チ</t>
    </rPh>
    <phoneticPr fontId="5"/>
  </si>
  <si>
    <t xml:space="preserve">・CSVファイル出力時、カンマが含まれる可能性のある項目の場合、”ダブルコーテーション”区切りとし、カンマごと出力できているか確認する
</t>
    <rPh sb="10" eb="11">
      <t>ジ</t>
    </rPh>
    <rPh sb="20" eb="23">
      <t>カノウセイ</t>
    </rPh>
    <rPh sb="26" eb="28">
      <t>コウモク</t>
    </rPh>
    <phoneticPr fontId="5"/>
  </si>
  <si>
    <t>2-81</t>
  </si>
  <si>
    <t xml:space="preserve">・Format形式正確性の確認（NULL,フォーマット、項目変換など）
</t>
    <rPh sb="13" eb="15">
      <t>カクニン</t>
    </rPh>
    <rPh sb="28" eb="30">
      <t>コウモク</t>
    </rPh>
    <rPh sb="30" eb="32">
      <t>ヘンカン</t>
    </rPh>
    <phoneticPr fontId="5"/>
  </si>
  <si>
    <t>2-82</t>
  </si>
  <si>
    <t>テストデータ</t>
    <phoneticPr fontId="2"/>
  </si>
  <si>
    <t>・CSVファイル出力時、</t>
    <phoneticPr fontId="2"/>
  </si>
  <si>
    <t>2-83</t>
  </si>
  <si>
    <t>2-84</t>
  </si>
  <si>
    <t>2-85</t>
  </si>
  <si>
    <t>2-86</t>
  </si>
  <si>
    <t>エラー</t>
  </si>
  <si>
    <t>設定</t>
    <rPh sb="0" eb="2">
      <t>セッテイ</t>
    </rPh>
    <phoneticPr fontId="5"/>
  </si>
  <si>
    <t xml:space="preserve">・設定が存在しない場合に対応しているか確認する
・設定値が不正な場合に対応しているか確認する
</t>
    <rPh sb="1" eb="3">
      <t>セッテイ</t>
    </rPh>
    <rPh sb="4" eb="6">
      <t>ソンザイ</t>
    </rPh>
    <rPh sb="9" eb="11">
      <t>バアイ</t>
    </rPh>
    <rPh sb="12" eb="14">
      <t>タイオウ</t>
    </rPh>
    <rPh sb="19" eb="21">
      <t>カクニン</t>
    </rPh>
    <rPh sb="25" eb="28">
      <t>セッテイチ</t>
    </rPh>
    <rPh sb="29" eb="31">
      <t>フセイ</t>
    </rPh>
    <rPh sb="32" eb="34">
      <t>バアイ</t>
    </rPh>
    <rPh sb="35" eb="37">
      <t>タイオウ</t>
    </rPh>
    <rPh sb="42" eb="44">
      <t>カクニン</t>
    </rPh>
    <phoneticPr fontId="5"/>
  </si>
  <si>
    <t>2-87</t>
  </si>
  <si>
    <t xml:space="preserve">・マスターデータ等のDB内容の異常に対応しているか確認する
</t>
    <rPh sb="8" eb="9">
      <t>トウ</t>
    </rPh>
    <rPh sb="12" eb="14">
      <t>ナイヨウ</t>
    </rPh>
    <rPh sb="15" eb="17">
      <t>イジョウ</t>
    </rPh>
    <rPh sb="18" eb="20">
      <t>タイオウ</t>
    </rPh>
    <rPh sb="25" eb="27">
      <t>カクニン</t>
    </rPh>
    <phoneticPr fontId="5"/>
  </si>
  <si>
    <t>2-88</t>
  </si>
  <si>
    <t xml:space="preserve">・ファイルシステムの異常に対応しているか確認する
</t>
    <rPh sb="10" eb="12">
      <t>イジョウ</t>
    </rPh>
    <rPh sb="13" eb="15">
      <t>タイオウ</t>
    </rPh>
    <rPh sb="20" eb="22">
      <t>カクニン</t>
    </rPh>
    <phoneticPr fontId="5"/>
  </si>
  <si>
    <t>2-89</t>
  </si>
  <si>
    <t>外部システム連携</t>
    <rPh sb="0" eb="2">
      <t>ガイブ</t>
    </rPh>
    <rPh sb="6" eb="8">
      <t>レンケイ</t>
    </rPh>
    <phoneticPr fontId="5"/>
  </si>
  <si>
    <t xml:space="preserve">・外部システム連携がある場合、デバイス等の接続異常（アクセス不可）の場合にチェック処理があることを確認する
</t>
    <rPh sb="1" eb="3">
      <t>ガイブ</t>
    </rPh>
    <rPh sb="7" eb="9">
      <t>レンケイ</t>
    </rPh>
    <rPh sb="12" eb="14">
      <t>バアイ</t>
    </rPh>
    <rPh sb="19" eb="20">
      <t>ナド</t>
    </rPh>
    <rPh sb="21" eb="23">
      <t>セツゾク</t>
    </rPh>
    <rPh sb="23" eb="25">
      <t>イジョウ</t>
    </rPh>
    <rPh sb="30" eb="32">
      <t>フカ</t>
    </rPh>
    <rPh sb="34" eb="36">
      <t>バアイ</t>
    </rPh>
    <rPh sb="41" eb="43">
      <t>ショリ</t>
    </rPh>
    <rPh sb="49" eb="51">
      <t>カクニン</t>
    </rPh>
    <phoneticPr fontId="5"/>
  </si>
  <si>
    <t>2-90</t>
  </si>
  <si>
    <t>追加ロジック</t>
    <rPh sb="0" eb="2">
      <t>ツイカ</t>
    </rPh>
    <phoneticPr fontId="5"/>
  </si>
  <si>
    <t xml:space="preserve">・障害修正等対応時の追加ロジックについてエラーケースを想定しているか確認する。
</t>
    <rPh sb="1" eb="6">
      <t>ショウガイシュウセイトウ</t>
    </rPh>
    <rPh sb="6" eb="9">
      <t>タイオウジ</t>
    </rPh>
    <rPh sb="10" eb="12">
      <t>ツイカ</t>
    </rPh>
    <rPh sb="27" eb="29">
      <t>ソウテイ</t>
    </rPh>
    <rPh sb="34" eb="36">
      <t>カクニン</t>
    </rPh>
    <phoneticPr fontId="5"/>
  </si>
  <si>
    <t>2-91</t>
  </si>
  <si>
    <t xml:space="preserve">・UNION もしくは UNION ALL で同一レコードのテストが存在していることを確認する
</t>
    <rPh sb="23" eb="25">
      <t>ドウイツ</t>
    </rPh>
    <rPh sb="34" eb="36">
      <t>ソンザイ</t>
    </rPh>
    <phoneticPr fontId="5"/>
  </si>
  <si>
    <t>・参照しているテーブルの主キーフルパターンについてテストデータを用意して確認する</t>
    <rPh sb="1" eb="3">
      <t>サンショウ</t>
    </rPh>
    <rPh sb="12" eb="13">
      <t>シュ</t>
    </rPh>
    <rPh sb="32" eb="34">
      <t>ヨウイ</t>
    </rPh>
    <rPh sb="36" eb="38">
      <t>カクニン</t>
    </rPh>
    <phoneticPr fontId="5"/>
  </si>
  <si>
    <t xml:space="preserve">・テーブル変数を使用している場合は、想定される最大行での確認をする
</t>
    <rPh sb="5" eb="7">
      <t>ヘンスウ</t>
    </rPh>
    <rPh sb="8" eb="10">
      <t>シヨウ</t>
    </rPh>
    <rPh sb="14" eb="16">
      <t>バアイ</t>
    </rPh>
    <rPh sb="18" eb="20">
      <t>ソウテイ</t>
    </rPh>
    <rPh sb="23" eb="25">
      <t>サイダイ</t>
    </rPh>
    <rPh sb="25" eb="26">
      <t>ギョウ</t>
    </rPh>
    <rPh sb="28" eb="30">
      <t>カクニン</t>
    </rPh>
    <phoneticPr fontId="5"/>
  </si>
  <si>
    <t>Excel2007</t>
    <phoneticPr fontId="61"/>
  </si>
  <si>
    <t>エクセル2007使っている人いる？</t>
    <rPh sb="8" eb="9">
      <t>ツカ</t>
    </rPh>
    <rPh sb="13" eb="14">
      <t>ヒト</t>
    </rPh>
    <phoneticPr fontId="2"/>
  </si>
  <si>
    <t>ログ</t>
    <phoneticPr fontId="2"/>
  </si>
  <si>
    <t xml:space="preserve">アプリケーションログ
</t>
    <phoneticPr fontId="2"/>
  </si>
  <si>
    <t xml:space="preserve">・修正プログラムから出力されるログに想定外のエラーがないか確認する。
画面であればweb.log、夜間バッチ処理であればexe.log、ファイル作成であればdtsログなど
</t>
    <phoneticPr fontId="2"/>
  </si>
  <si>
    <t>テスト結果を確認する際、ログの確認が漏れる可能性がある</t>
    <rPh sb="3" eb="5">
      <t>ケッカ</t>
    </rPh>
    <rPh sb="6" eb="8">
      <t>カクニン</t>
    </rPh>
    <rPh sb="10" eb="11">
      <t>サイ</t>
    </rPh>
    <rPh sb="15" eb="17">
      <t>カクニン</t>
    </rPh>
    <rPh sb="18" eb="19">
      <t>モ</t>
    </rPh>
    <rPh sb="21" eb="24">
      <t>カノウセイ</t>
    </rPh>
    <phoneticPr fontId="2"/>
  </si>
  <si>
    <t xml:space="preserve">・セキュリティログに反映されることを確認
</t>
    <rPh sb="10" eb="12">
      <t>ハンエイ</t>
    </rPh>
    <rPh sb="18" eb="20">
      <t>カクニン</t>
    </rPh>
    <phoneticPr fontId="5"/>
  </si>
  <si>
    <t>・ファイル読み込み処理が含まれており、複数同時にファイルアクセスの可能性がある場合は、同時アクセスについて確認を実施する。</t>
    <rPh sb="5" eb="6">
      <t>ヨ</t>
    </rPh>
    <rPh sb="7" eb="8">
      <t>コ</t>
    </rPh>
    <rPh sb="9" eb="11">
      <t>ショリ</t>
    </rPh>
    <rPh sb="12" eb="13">
      <t>フク</t>
    </rPh>
    <rPh sb="19" eb="23">
      <t>フクスウドウジ</t>
    </rPh>
    <rPh sb="33" eb="36">
      <t>カノウセイ</t>
    </rPh>
    <rPh sb="39" eb="41">
      <t>バアイ</t>
    </rPh>
    <rPh sb="43" eb="45">
      <t>ドウジ</t>
    </rPh>
    <rPh sb="53" eb="55">
      <t>カクニン</t>
    </rPh>
    <rPh sb="56" eb="58">
      <t>ジッシ</t>
    </rPh>
    <phoneticPr fontId="5"/>
  </si>
  <si>
    <t xml:space="preserve">・パッケージモジュールを修正する場合、モジュール間での連携に関わる処理があれば、購入フラグが考慮されていることを確認する。
（例）営業支援のネタ情報と電子稟議の融資申込受付の連携時など。
</t>
    <rPh sb="56" eb="58">
      <t>カクニン</t>
    </rPh>
    <rPh sb="65" eb="67">
      <t>エイギョウ</t>
    </rPh>
    <rPh sb="67" eb="69">
      <t>シエン</t>
    </rPh>
    <rPh sb="75" eb="77">
      <t>デンシ</t>
    </rPh>
    <rPh sb="77" eb="79">
      <t>リンギ</t>
    </rPh>
    <phoneticPr fontId="2"/>
  </si>
  <si>
    <t>業務</t>
    <rPh sb="0" eb="2">
      <t>ギョウム</t>
    </rPh>
    <phoneticPr fontId="5"/>
  </si>
  <si>
    <t>自己査定</t>
    <rPh sb="0" eb="2">
      <t>ジコ</t>
    </rPh>
    <rPh sb="2" eb="4">
      <t>サテイ</t>
    </rPh>
    <phoneticPr fontId="5"/>
  </si>
  <si>
    <t xml:space="preserve">・該当データを検索する際に、基準年月が「該当基準年月」か「最大基準年月」が考慮されていることを確認する
</t>
    <rPh sb="1" eb="3">
      <t>ガイトウ</t>
    </rPh>
    <rPh sb="7" eb="9">
      <t>ケンサク</t>
    </rPh>
    <rPh sb="11" eb="12">
      <t>サイ</t>
    </rPh>
    <rPh sb="14" eb="16">
      <t>キジュン</t>
    </rPh>
    <rPh sb="16" eb="18">
      <t>ネンゲツ</t>
    </rPh>
    <rPh sb="20" eb="22">
      <t>ガイトウ</t>
    </rPh>
    <rPh sb="22" eb="24">
      <t>キジュン</t>
    </rPh>
    <rPh sb="24" eb="26">
      <t>ネンゲツ</t>
    </rPh>
    <rPh sb="29" eb="31">
      <t>サイダイ</t>
    </rPh>
    <rPh sb="31" eb="33">
      <t>キジュン</t>
    </rPh>
    <rPh sb="33" eb="35">
      <t>ネンゲツ</t>
    </rPh>
    <rPh sb="37" eb="39">
      <t>コウリョ</t>
    </rPh>
    <rPh sb="47" eb="49">
      <t>カクニン</t>
    </rPh>
    <phoneticPr fontId="5"/>
  </si>
  <si>
    <t>ホスト更改
（番号体系・コード体系変更）</t>
    <rPh sb="3" eb="5">
      <t>コウカイ</t>
    </rPh>
    <rPh sb="7" eb="9">
      <t>バンゴウ</t>
    </rPh>
    <rPh sb="9" eb="11">
      <t>タイケイ</t>
    </rPh>
    <rPh sb="15" eb="17">
      <t>タイケイ</t>
    </rPh>
    <rPh sb="17" eb="19">
      <t>ヘンコウ</t>
    </rPh>
    <phoneticPr fontId="5"/>
  </si>
  <si>
    <t xml:space="preserve">・各データ間（顧客情報、債権明細、担保明細等）の紐付けは正常にされているかを確認する。
※紐付キーとなる店番、顧客番号の先頭0埋めまたは先頭0削除のロジックが統一されているかの確認
</t>
    <rPh sb="1" eb="2">
      <t>カク</t>
    </rPh>
    <rPh sb="5" eb="6">
      <t>カン</t>
    </rPh>
    <rPh sb="7" eb="9">
      <t>コキャク</t>
    </rPh>
    <rPh sb="9" eb="11">
      <t>ジョウホウ</t>
    </rPh>
    <rPh sb="12" eb="14">
      <t>サイケン</t>
    </rPh>
    <rPh sb="14" eb="16">
      <t>メイサイ</t>
    </rPh>
    <rPh sb="17" eb="19">
      <t>タンポ</t>
    </rPh>
    <rPh sb="19" eb="21">
      <t>メイサイ</t>
    </rPh>
    <rPh sb="21" eb="22">
      <t>ナド</t>
    </rPh>
    <rPh sb="28" eb="30">
      <t>セイジョウ</t>
    </rPh>
    <rPh sb="38" eb="40">
      <t>カクニン</t>
    </rPh>
    <rPh sb="45" eb="46">
      <t>ヒモ</t>
    </rPh>
    <rPh sb="46" eb="47">
      <t>ヅ</t>
    </rPh>
    <rPh sb="52" eb="53">
      <t>ミセ</t>
    </rPh>
    <rPh sb="53" eb="54">
      <t>バン</t>
    </rPh>
    <rPh sb="55" eb="57">
      <t>コキャク</t>
    </rPh>
    <rPh sb="57" eb="59">
      <t>バンゴウ</t>
    </rPh>
    <rPh sb="60" eb="62">
      <t>セントウ</t>
    </rPh>
    <rPh sb="63" eb="64">
      <t>ウ</t>
    </rPh>
    <rPh sb="68" eb="70">
      <t>セントウ</t>
    </rPh>
    <rPh sb="71" eb="73">
      <t>サクジョ</t>
    </rPh>
    <rPh sb="79" eb="81">
      <t>トウイツ</t>
    </rPh>
    <rPh sb="88" eb="90">
      <t>カクニン</t>
    </rPh>
    <phoneticPr fontId="5"/>
  </si>
  <si>
    <t>格付</t>
    <rPh sb="0" eb="2">
      <t>カクヅケ</t>
    </rPh>
    <phoneticPr fontId="5"/>
  </si>
  <si>
    <t>記載内容があいまい</t>
    <rPh sb="0" eb="4">
      <t>キサイナイヨウ</t>
    </rPh>
    <phoneticPr fontId="2"/>
  </si>
  <si>
    <t>データ</t>
  </si>
  <si>
    <t>テストデータ作成</t>
    <rPh sb="6" eb="8">
      <t>サクセイ</t>
    </rPh>
    <phoneticPr fontId="5"/>
  </si>
  <si>
    <t xml:space="preserve">・画面や帳票、還元データに債権などの合計金額を出力する仕様がある場合、対象のテストデータが複数用意されていることを確認する。
（例）未収利息債権の合計金額を出力している項目がある場合
　　⇒同一顧客の同一基準年月における未収利息債権データを複数レコード準備すること。
</t>
    <rPh sb="1" eb="3">
      <t>ガメン</t>
    </rPh>
    <rPh sb="4" eb="6">
      <t>チョウヒョウ</t>
    </rPh>
    <rPh sb="7" eb="9">
      <t>カンゲン</t>
    </rPh>
    <rPh sb="13" eb="15">
      <t>サイケン</t>
    </rPh>
    <rPh sb="18" eb="20">
      <t>ゴウケイ</t>
    </rPh>
    <rPh sb="20" eb="22">
      <t>キンガク</t>
    </rPh>
    <rPh sb="23" eb="25">
      <t>シュツリョク</t>
    </rPh>
    <rPh sb="27" eb="29">
      <t>シヨウ</t>
    </rPh>
    <rPh sb="32" eb="34">
      <t>バアイ</t>
    </rPh>
    <rPh sb="35" eb="37">
      <t>タイショウ</t>
    </rPh>
    <rPh sb="45" eb="47">
      <t>フクスウ</t>
    </rPh>
    <rPh sb="47" eb="49">
      <t>ヨウイ</t>
    </rPh>
    <rPh sb="57" eb="59">
      <t>カクニン</t>
    </rPh>
    <rPh sb="64" eb="65">
      <t>レイ</t>
    </rPh>
    <rPh sb="66" eb="68">
      <t>ミシュウ</t>
    </rPh>
    <rPh sb="68" eb="70">
      <t>リソク</t>
    </rPh>
    <rPh sb="70" eb="72">
      <t>サイケン</t>
    </rPh>
    <rPh sb="73" eb="75">
      <t>ゴウケイ</t>
    </rPh>
    <rPh sb="75" eb="77">
      <t>キンガク</t>
    </rPh>
    <rPh sb="78" eb="80">
      <t>シュツリョク</t>
    </rPh>
    <rPh sb="84" eb="86">
      <t>コウモク</t>
    </rPh>
    <rPh sb="89" eb="91">
      <t>バアイ</t>
    </rPh>
    <rPh sb="95" eb="97">
      <t>ドウイツ</t>
    </rPh>
    <rPh sb="97" eb="99">
      <t>コキャク</t>
    </rPh>
    <rPh sb="100" eb="102">
      <t>ドウイツ</t>
    </rPh>
    <rPh sb="102" eb="104">
      <t>キジュン</t>
    </rPh>
    <rPh sb="104" eb="106">
      <t>ネンゲツ</t>
    </rPh>
    <rPh sb="110" eb="112">
      <t>ミシュウ</t>
    </rPh>
    <rPh sb="112" eb="114">
      <t>リソク</t>
    </rPh>
    <rPh sb="114" eb="116">
      <t>サイケン</t>
    </rPh>
    <rPh sb="120" eb="122">
      <t>フクスウ</t>
    </rPh>
    <rPh sb="126" eb="128">
      <t>ジュンビ</t>
    </rPh>
    <phoneticPr fontId="5"/>
  </si>
  <si>
    <t>限界値確認
（計量化のみ）</t>
    <rPh sb="0" eb="2">
      <t>ゲンカイ</t>
    </rPh>
    <rPh sb="2" eb="3">
      <t>チ</t>
    </rPh>
    <rPh sb="3" eb="5">
      <t>カクニン</t>
    </rPh>
    <rPh sb="7" eb="10">
      <t>ケイリョウカ</t>
    </rPh>
    <phoneticPr fontId="2"/>
  </si>
  <si>
    <t xml:space="preserve">BatchControlAgentのテストを行う場合、最大メモリを確保するケースのテストを実施している。
（シミュレーションパス回数：50万回、データ数（債務者50万、債権50万）で実施すること）
</t>
    <rPh sb="22" eb="23">
      <t>オコナ</t>
    </rPh>
    <rPh sb="24" eb="26">
      <t>バアイ</t>
    </rPh>
    <rPh sb="27" eb="29">
      <t>サイダイ</t>
    </rPh>
    <rPh sb="33" eb="35">
      <t>カクホ</t>
    </rPh>
    <rPh sb="45" eb="47">
      <t>ジッシ</t>
    </rPh>
    <rPh sb="64" eb="66">
      <t>カイスウ</t>
    </rPh>
    <rPh sb="69" eb="71">
      <t>マンカイ</t>
    </rPh>
    <rPh sb="75" eb="76">
      <t>スウ</t>
    </rPh>
    <rPh sb="77" eb="80">
      <t>サイムシャ</t>
    </rPh>
    <rPh sb="82" eb="83">
      <t>マン</t>
    </rPh>
    <rPh sb="84" eb="86">
      <t>サイケン</t>
    </rPh>
    <rPh sb="88" eb="89">
      <t>マン</t>
    </rPh>
    <rPh sb="91" eb="93">
      <t>ジッシ</t>
    </rPh>
    <phoneticPr fontId="5"/>
  </si>
  <si>
    <t>IIS再起動</t>
    <rPh sb="3" eb="6">
      <t>サイキドウ</t>
    </rPh>
    <phoneticPr fontId="2"/>
  </si>
  <si>
    <t xml:space="preserve">汎用コードや画面項目定義を修正した場合、DB反映後にIISの再起動を実施している。
</t>
    <rPh sb="17" eb="19">
      <t>バアイ</t>
    </rPh>
    <rPh sb="22" eb="24">
      <t>ハンエイ</t>
    </rPh>
    <rPh sb="24" eb="25">
      <t>ゴ</t>
    </rPh>
    <rPh sb="30" eb="33">
      <t>サイキドウ</t>
    </rPh>
    <rPh sb="34" eb="36">
      <t>ジッシ</t>
    </rPh>
    <phoneticPr fontId="5"/>
  </si>
  <si>
    <t>誤修正が発見できない。</t>
    <rPh sb="0" eb="1">
      <t>ゴ</t>
    </rPh>
    <rPh sb="1" eb="3">
      <t>シュウセイ</t>
    </rPh>
    <rPh sb="4" eb="6">
      <t>ハッケン</t>
    </rPh>
    <phoneticPr fontId="2"/>
  </si>
  <si>
    <t>・設計書からテスト仕様書が完了した時点で、成果物とテスト仕様書を突合し 、抜け漏れが無いことを確認する。
・UT実施前に1項目の確認を作業者・再鑑者の2名以上の体制で必ず実施し、完了させること。</t>
    <rPh sb="1" eb="4">
      <t>セッケイショ</t>
    </rPh>
    <rPh sb="9" eb="12">
      <t>シヨウショ</t>
    </rPh>
    <rPh sb="56" eb="58">
      <t>ジッシ</t>
    </rPh>
    <phoneticPr fontId="5"/>
  </si>
  <si>
    <r>
      <t>・モジュール修正箇所の全ステートメントが実行されるテストケースになっていること
・モジュール修正箇所に関連する全ての機能が無効になっていない（無影響確認）がテストケースに含まれていること
上記を作成および検証した</t>
    </r>
    <r>
      <rPr>
        <b/>
        <u/>
        <sz val="11"/>
        <color indexed="8"/>
        <rFont val="Meiryo UI"/>
        <family val="3"/>
        <charset val="128"/>
      </rPr>
      <t>担当者名</t>
    </r>
    <r>
      <rPr>
        <sz val="11"/>
        <color indexed="8"/>
        <rFont val="Meiryo UI"/>
        <family val="3"/>
        <charset val="128"/>
      </rPr>
      <t xml:space="preserve">を以下に記載する。
</t>
    </r>
    <rPh sb="6" eb="8">
      <t>シュウセイ</t>
    </rPh>
    <rPh sb="8" eb="10">
      <t>カショ</t>
    </rPh>
    <rPh sb="11" eb="12">
      <t>スベ</t>
    </rPh>
    <rPh sb="20" eb="22">
      <t>ジッコウ</t>
    </rPh>
    <rPh sb="46" eb="48">
      <t>シュウセイ</t>
    </rPh>
    <rPh sb="48" eb="50">
      <t>カショ</t>
    </rPh>
    <rPh sb="51" eb="53">
      <t>カンレン</t>
    </rPh>
    <rPh sb="55" eb="56">
      <t>スベ</t>
    </rPh>
    <rPh sb="58" eb="60">
      <t>キノウ</t>
    </rPh>
    <rPh sb="61" eb="63">
      <t>ムコウ</t>
    </rPh>
    <rPh sb="71" eb="72">
      <t>ム</t>
    </rPh>
    <rPh sb="72" eb="74">
      <t>エイキョウ</t>
    </rPh>
    <rPh sb="74" eb="76">
      <t>カクニン</t>
    </rPh>
    <rPh sb="85" eb="86">
      <t>フク</t>
    </rPh>
    <rPh sb="94" eb="96">
      <t>ジョウキ</t>
    </rPh>
    <rPh sb="97" eb="99">
      <t>サクセイ</t>
    </rPh>
    <rPh sb="102" eb="104">
      <t>ケンショウ</t>
    </rPh>
    <rPh sb="106" eb="108">
      <t>タントウ</t>
    </rPh>
    <rPh sb="108" eb="109">
      <t>シャ</t>
    </rPh>
    <rPh sb="109" eb="110">
      <t>メイ</t>
    </rPh>
    <rPh sb="111" eb="113">
      <t>イカ</t>
    </rPh>
    <rPh sb="114" eb="116">
      <t>キサイ</t>
    </rPh>
    <phoneticPr fontId="3"/>
  </si>
  <si>
    <t>ワークフロー</t>
    <phoneticPr fontId="5"/>
  </si>
  <si>
    <t>権限</t>
    <rPh sb="0" eb="2">
      <t>ケンゲン</t>
    </rPh>
    <phoneticPr fontId="5"/>
  </si>
  <si>
    <t>ワークフローのテスト（稟議の回付等）を行う場合は、階層毎に別々のユーザを用意しテストを行う。</t>
    <rPh sb="11" eb="13">
      <t>リンギ</t>
    </rPh>
    <rPh sb="14" eb="16">
      <t>カイフ</t>
    </rPh>
    <rPh sb="16" eb="17">
      <t>トウ</t>
    </rPh>
    <rPh sb="19" eb="20">
      <t>オコナ</t>
    </rPh>
    <rPh sb="21" eb="23">
      <t>バアイ</t>
    </rPh>
    <rPh sb="25" eb="27">
      <t>カイソウ</t>
    </rPh>
    <rPh sb="27" eb="28">
      <t>ゴト</t>
    </rPh>
    <rPh sb="29" eb="31">
      <t>ベツベツ</t>
    </rPh>
    <rPh sb="36" eb="38">
      <t>ヨウイ</t>
    </rPh>
    <rPh sb="43" eb="44">
      <t>オコナ</t>
    </rPh>
    <phoneticPr fontId="5"/>
  </si>
  <si>
    <t xml:space="preserve">すべて同一ユーザとしてしまうと、別々の項目からユーザIDを使用していたとしても、テスト上は同一ユーザIDとなってしまう。詳細はRT-RT-39172参照
</t>
    <rPh sb="3" eb="5">
      <t>ドウイツ</t>
    </rPh>
    <rPh sb="16" eb="18">
      <t>ベツベツ</t>
    </rPh>
    <rPh sb="19" eb="21">
      <t>コウモク</t>
    </rPh>
    <rPh sb="29" eb="31">
      <t>シヨウ</t>
    </rPh>
    <rPh sb="43" eb="44">
      <t>ジョウ</t>
    </rPh>
    <rPh sb="45" eb="47">
      <t>ドウイツ</t>
    </rPh>
    <phoneticPr fontId="9"/>
  </si>
  <si>
    <t>顧客情報</t>
    <rPh sb="0" eb="2">
      <t>コキャク</t>
    </rPh>
    <rPh sb="2" eb="4">
      <t>ジョウホウ</t>
    </rPh>
    <phoneticPr fontId="5"/>
  </si>
  <si>
    <t>顧客関連情報、トリガーを含めたテストケースとなっているか。</t>
    <rPh sb="0" eb="2">
      <t>コキャク</t>
    </rPh>
    <rPh sb="2" eb="4">
      <t>カンレン</t>
    </rPh>
    <rPh sb="4" eb="6">
      <t>ジョウホウ</t>
    </rPh>
    <rPh sb="12" eb="13">
      <t>フク</t>
    </rPh>
    <phoneticPr fontId="5"/>
  </si>
  <si>
    <t xml:space="preserve">RT-RT-40977 事業内容・業界動向画面で他のユーザが更新しているとメッセージが出る
</t>
    <phoneticPr fontId="45"/>
  </si>
  <si>
    <t>画面ID</t>
    <rPh sb="0" eb="2">
      <t>ガメン</t>
    </rPh>
    <phoneticPr fontId="48"/>
  </si>
  <si>
    <t>画面名</t>
    <rPh sb="0" eb="2">
      <t>ガメン</t>
    </rPh>
    <rPh sb="2" eb="3">
      <t>メイ</t>
    </rPh>
    <phoneticPr fontId="48"/>
  </si>
  <si>
    <t>№</t>
    <phoneticPr fontId="2"/>
  </si>
  <si>
    <t>分類</t>
    <rPh sb="0" eb="2">
      <t>ブンルイ</t>
    </rPh>
    <phoneticPr fontId="2"/>
  </si>
  <si>
    <t>確認項目</t>
    <rPh sb="0" eb="2">
      <t>カクニン</t>
    </rPh>
    <rPh sb="2" eb="4">
      <t>コウモク</t>
    </rPh>
    <phoneticPr fontId="2"/>
  </si>
  <si>
    <t>確認詳細</t>
    <phoneticPr fontId="2"/>
  </si>
  <si>
    <t>初期状態</t>
    <phoneticPr fontId="2"/>
  </si>
  <si>
    <t>見切れ確認
(文字列項目は'W'(半角大文字)で確認、
文字列項目以外は、半角数字で確認)</t>
    <rPh sb="0" eb="2">
      <t>ミキ</t>
    </rPh>
    <rPh sb="3" eb="5">
      <t>カクニン</t>
    </rPh>
    <rPh sb="10" eb="12">
      <t>コウモク</t>
    </rPh>
    <rPh sb="28" eb="30">
      <t>モンジ</t>
    </rPh>
    <rPh sb="30" eb="31">
      <t>レツ</t>
    </rPh>
    <rPh sb="31" eb="33">
      <t>コウモク</t>
    </rPh>
    <phoneticPr fontId="2"/>
  </si>
  <si>
    <t>備考</t>
    <rPh sb="0" eb="2">
      <t>ビコウ</t>
    </rPh>
    <phoneticPr fontId="2"/>
  </si>
  <si>
    <t>チェック</t>
    <phoneticPr fontId="2"/>
  </si>
  <si>
    <t>結果</t>
    <rPh sb="0" eb="2">
      <t>ケッカ</t>
    </rPh>
    <phoneticPr fontId="2"/>
  </si>
  <si>
    <t>確認者</t>
    <rPh sb="0" eb="2">
      <t>カクニン</t>
    </rPh>
    <rPh sb="2" eb="3">
      <t>シャ</t>
    </rPh>
    <phoneticPr fontId="2"/>
  </si>
  <si>
    <t>　ヘッダーエリア</t>
    <phoneticPr fontId="2"/>
  </si>
  <si>
    <t>画面最上部に表示する。</t>
    <phoneticPr fontId="2"/>
  </si>
  <si>
    <t>BANK･Rロゴ画像を左寄せで表示する。</t>
  </si>
  <si>
    <t>ログインユーザー情報を右寄せで表示する。</t>
  </si>
  <si>
    <t>ログアウトボタンをログインユーザー情報の右部に表示する</t>
  </si>
  <si>
    <t>システム名は、設定定義ファイルに設定し表示する。</t>
  </si>
  <si>
    <t>　メインメニューエリア</t>
    <phoneticPr fontId="2"/>
  </si>
  <si>
    <t>各サブシステム画面へのメニューを表示する、左詰めで表示する。</t>
    <rPh sb="0" eb="1">
      <t>カク</t>
    </rPh>
    <rPh sb="7" eb="9">
      <t>ガメン</t>
    </rPh>
    <rPh sb="16" eb="18">
      <t>ヒョウジ</t>
    </rPh>
    <rPh sb="21" eb="23">
      <t>ヒダリヅ</t>
    </rPh>
    <rPh sb="25" eb="27">
      <t>ヒョウジ</t>
    </rPh>
    <phoneticPr fontId="2"/>
  </si>
  <si>
    <t>メニュー押下時に、メニューの初期表示画面を表示し、サイドバーメニューも表示画面がある階層まで展開し表示する。</t>
    <phoneticPr fontId="2"/>
  </si>
  <si>
    <t>●</t>
    <phoneticPr fontId="2"/>
  </si>
  <si>
    <t>メニュー上にマウスが左クリック 際に、サブメニューの最上位層メニューを表示する。</t>
    <phoneticPr fontId="2"/>
  </si>
  <si>
    <t>最上位層メニューを選択した場合は、最上位層メニュー内の初期表示画面を表示し、サイドバーメニューも表示画面がある階層まで展開し表示する。</t>
    <phoneticPr fontId="2"/>
  </si>
  <si>
    <t>　サブメニューエリア</t>
    <phoneticPr fontId="2"/>
  </si>
  <si>
    <t>サブメニューの各階層をアコーディオンメニューで表示する。</t>
  </si>
  <si>
    <t>コンテンツエリアに表示する業務画面へのリンクは下位層にて表示する。</t>
  </si>
  <si>
    <t>アコーディオンの表示は滑らかにスライド表示させる。</t>
  </si>
  <si>
    <t>　ナビエリア</t>
    <phoneticPr fontId="2"/>
  </si>
  <si>
    <t>コンテンツエリア内でワークフロー操作しているデータや顧客の補足情報を表示する。</t>
    <phoneticPr fontId="2"/>
  </si>
  <si>
    <t>　コンテンツエリア</t>
    <phoneticPr fontId="2"/>
  </si>
  <si>
    <r>
      <t>余白が生じないよう、画面サイズを最大限に使用することで横スクロールしない幅で出力されている。
(解像度</t>
    </r>
    <r>
      <rPr>
        <b/>
        <sz val="9"/>
        <rFont val="ＭＳ Ｐゴシック"/>
        <family val="3"/>
        <charset val="128"/>
      </rPr>
      <t>1280×1024</t>
    </r>
    <r>
      <rPr>
        <sz val="9"/>
        <rFont val="ＭＳ Ｐゴシック"/>
        <family val="3"/>
        <charset val="128"/>
      </rPr>
      <t>フルスクリーン時)
※ノートPCで使用される事を考慮し、1366×768でも操作は可能なレイアウトとすることで、ページのスクロールバー（横、縦）は表示可とする。</t>
    </r>
    <rPh sb="27" eb="28">
      <t>ヨコ</t>
    </rPh>
    <rPh sb="36" eb="37">
      <t>ハバ</t>
    </rPh>
    <rPh sb="38" eb="40">
      <t>シュツリョク</t>
    </rPh>
    <rPh sb="48" eb="51">
      <t>カイゾウド</t>
    </rPh>
    <rPh sb="67" eb="68">
      <t>ジ</t>
    </rPh>
    <phoneticPr fontId="2"/>
  </si>
  <si>
    <t xml:space="preserve">・画面サイズを最大限に使用するとして、可能な限りでページの縦クロールを利用しない。（横スクロールは禁止）
・一覧エリアのスクロールバー（横、縦）は表示可とする。
・検索部分が展開する場合や、提示メッセージがコンテンツエリアのトップに表示する場合、コンテンツエリアのスクロールバーは表示許可
</t>
    <rPh sb="35" eb="37">
      <t>リヨウ</t>
    </rPh>
    <rPh sb="87" eb="89">
      <t>テンカイ</t>
    </rPh>
    <rPh sb="91" eb="93">
      <t>バアイ</t>
    </rPh>
    <rPh sb="95" eb="97">
      <t>テイジ</t>
    </rPh>
    <rPh sb="116" eb="118">
      <t>ヒョウジ</t>
    </rPh>
    <rPh sb="120" eb="122">
      <t>バアイ</t>
    </rPh>
    <rPh sb="142" eb="144">
      <t>キョカ</t>
    </rPh>
    <phoneticPr fontId="2"/>
  </si>
  <si>
    <t>作業エリア画面の両端に多少の幅がある。</t>
    <rPh sb="0" eb="2">
      <t>サギョウ</t>
    </rPh>
    <phoneticPr fontId="2"/>
  </si>
  <si>
    <t>縦スクロールは1.5ページ程度まで。</t>
    <rPh sb="0" eb="1">
      <t>タテ</t>
    </rPh>
    <rPh sb="13" eb="15">
      <t>テイド</t>
    </rPh>
    <phoneticPr fontId="2"/>
  </si>
  <si>
    <t>フレーム・表・テキストボックスのスクロールが並存しない。</t>
    <rPh sb="5" eb="6">
      <t>オモテ</t>
    </rPh>
    <rPh sb="22" eb="24">
      <t>ヘイゾン</t>
    </rPh>
    <phoneticPr fontId="2"/>
  </si>
  <si>
    <t>複数操作エリアが存在する場合はグループ分けて構成、各グループには枠の線を付けて表示する</t>
    <rPh sb="0" eb="2">
      <t>フクスウ</t>
    </rPh>
    <rPh sb="2" eb="4">
      <t>ソウサ</t>
    </rPh>
    <rPh sb="8" eb="10">
      <t>ソンザイ</t>
    </rPh>
    <rPh sb="12" eb="14">
      <t>バアイ</t>
    </rPh>
    <rPh sb="19" eb="20">
      <t>ワ</t>
    </rPh>
    <phoneticPr fontId="2"/>
  </si>
  <si>
    <t>　　検索条件入力欄</t>
    <phoneticPr fontId="2"/>
  </si>
  <si>
    <t>画面名称の上部に検索条件入力欄を表示する。</t>
    <phoneticPr fontId="2"/>
  </si>
  <si>
    <t>非表示「＋」</t>
    <phoneticPr fontId="2"/>
  </si>
  <si>
    <t>検索条件入力欄は表示/非表示の切り替えを「+」「-」アイコンできる。
切り替えは、滑らかにスライド表示/非表示させる。</t>
    <phoneticPr fontId="2"/>
  </si>
  <si>
    <t>　　一覧表</t>
    <rPh sb="2" eb="4">
      <t>イチラン</t>
    </rPh>
    <rPh sb="4" eb="5">
      <t>ヒョウ</t>
    </rPh>
    <phoneticPr fontId="2"/>
  </si>
  <si>
    <t>横スクロールは基本的に禁止。</t>
    <phoneticPr fontId="2"/>
  </si>
  <si>
    <t>一覧表示される情報の対象レコードが50件以上見込まれる場合はページ遷移とする。</t>
    <rPh sb="0" eb="2">
      <t>イチラン</t>
    </rPh>
    <rPh sb="2" eb="4">
      <t>ヒョウジ</t>
    </rPh>
    <rPh sb="7" eb="9">
      <t>ジョウホウ</t>
    </rPh>
    <rPh sb="10" eb="12">
      <t>タイショウ</t>
    </rPh>
    <rPh sb="19" eb="20">
      <t>ケン</t>
    </rPh>
    <rPh sb="20" eb="22">
      <t>イジョウ</t>
    </rPh>
    <rPh sb="22" eb="24">
      <t>ミコ</t>
    </rPh>
    <rPh sb="27" eb="29">
      <t>バアイ</t>
    </rPh>
    <rPh sb="33" eb="35">
      <t>センイ</t>
    </rPh>
    <phoneticPr fontId="2"/>
  </si>
  <si>
    <t>一覧表示される情報の対象レコードが50件未満の場合はスクロール遷移とする。</t>
    <rPh sb="0" eb="2">
      <t>イチラン</t>
    </rPh>
    <rPh sb="2" eb="4">
      <t>ヒョウジ</t>
    </rPh>
    <rPh sb="7" eb="9">
      <t>ジョウホウ</t>
    </rPh>
    <rPh sb="10" eb="12">
      <t>タイショウ</t>
    </rPh>
    <rPh sb="19" eb="20">
      <t>ケン</t>
    </rPh>
    <rPh sb="20" eb="22">
      <t>ミマン</t>
    </rPh>
    <rPh sb="23" eb="25">
      <t>バアイ</t>
    </rPh>
    <rPh sb="31" eb="33">
      <t>センイ</t>
    </rPh>
    <phoneticPr fontId="2"/>
  </si>
  <si>
    <t>ページ遷移の場合、ページャーで対応すふ。
「合計XXX件」と　「現在ページ数/全体ページ数」を表示する。</t>
    <rPh sb="3" eb="5">
      <t>センイ</t>
    </rPh>
    <rPh sb="6" eb="8">
      <t>バアイ</t>
    </rPh>
    <rPh sb="15" eb="17">
      <t>タイオウ</t>
    </rPh>
    <phoneticPr fontId="2"/>
  </si>
  <si>
    <t>ページ遷移の場合、一画面に表示する件数は業務要件等の条件が無い限り、最大表示15～20件とする。
※横スクロールしない幅で表示する。</t>
    <rPh sb="3" eb="5">
      <t>センイ</t>
    </rPh>
    <rPh sb="6" eb="8">
      <t>バアイ</t>
    </rPh>
    <rPh sb="34" eb="36">
      <t>サイダイ</t>
    </rPh>
    <rPh sb="36" eb="38">
      <t>ヒョウジ</t>
    </rPh>
    <rPh sb="61" eb="63">
      <t>ヒョウジ</t>
    </rPh>
    <phoneticPr fontId="2"/>
  </si>
  <si>
    <t xml:space="preserve">    システム情報エリア</t>
    <rPh sb="8" eb="10">
      <t>ジョウホウ</t>
    </rPh>
    <phoneticPr fontId="2"/>
  </si>
  <si>
    <t>処理状況一覧画面だけに配置する。</t>
    <rPh sb="0" eb="2">
      <t>ショリ</t>
    </rPh>
    <rPh sb="2" eb="4">
      <t>ジョウキョウ</t>
    </rPh>
    <rPh sb="4" eb="6">
      <t>イチラン</t>
    </rPh>
    <rPh sb="6" eb="8">
      <t>ガメン</t>
    </rPh>
    <rPh sb="11" eb="13">
      <t>ハイチ</t>
    </rPh>
    <phoneticPr fontId="2"/>
  </si>
  <si>
    <t>システム情報は最新で表示する。</t>
    <rPh sb="4" eb="6">
      <t>ジョウホウ</t>
    </rPh>
    <rPh sb="7" eb="9">
      <t>サイシン</t>
    </rPh>
    <rPh sb="10" eb="12">
      <t>ヒョウジ</t>
    </rPh>
    <phoneticPr fontId="2"/>
  </si>
  <si>
    <t>システム情報があり且つ、ログイン画面から遷移する場合だけ初期状態は表示にする。</t>
    <rPh sb="9" eb="10">
      <t>カ</t>
    </rPh>
    <rPh sb="24" eb="26">
      <t>バアイ</t>
    </rPh>
    <rPh sb="28" eb="30">
      <t>ショキ</t>
    </rPh>
    <rPh sb="30" eb="32">
      <t>ジョウタイ</t>
    </rPh>
    <rPh sb="33" eb="35">
      <t>ヒョウジ</t>
    </rPh>
    <phoneticPr fontId="2"/>
  </si>
  <si>
    <t>表示「－」</t>
    <phoneticPr fontId="2"/>
  </si>
  <si>
    <t>上記以外の場合、非表示「＋」</t>
    <rPh sb="0" eb="2">
      <t>ジョウキ</t>
    </rPh>
    <rPh sb="2" eb="4">
      <t>イガイ</t>
    </rPh>
    <rPh sb="5" eb="7">
      <t>バアイ</t>
    </rPh>
    <rPh sb="8" eb="11">
      <t>ヒヒョウジ</t>
    </rPh>
    <phoneticPr fontId="2"/>
  </si>
  <si>
    <t xml:space="preserve">    コメント</t>
    <phoneticPr fontId="2"/>
  </si>
  <si>
    <t>画面上の注意事項は「※1」から採番し、作業エリア左下に表示する。</t>
    <rPh sb="0" eb="3">
      <t>ガメンジョウ</t>
    </rPh>
    <rPh sb="4" eb="6">
      <t>チュウイ</t>
    </rPh>
    <rPh sb="6" eb="8">
      <t>ジコウ</t>
    </rPh>
    <rPh sb="15" eb="16">
      <t>サイ</t>
    </rPh>
    <rPh sb="16" eb="17">
      <t>バン</t>
    </rPh>
    <rPh sb="19" eb="21">
      <t>サギョウ</t>
    </rPh>
    <rPh sb="24" eb="26">
      <t>ヒダリシタ</t>
    </rPh>
    <rPh sb="27" eb="29">
      <t>ヒョウジ</t>
    </rPh>
    <phoneticPr fontId="2"/>
  </si>
  <si>
    <t>　ボタンエリア</t>
    <phoneticPr fontId="2"/>
  </si>
  <si>
    <t>作業系ボタンとDB登録系ボタンの間隔は3スペース(半角13pt)。</t>
    <rPh sb="0" eb="2">
      <t>サギョウ</t>
    </rPh>
    <rPh sb="2" eb="3">
      <t>ケイ</t>
    </rPh>
    <rPh sb="9" eb="11">
      <t>トウロク</t>
    </rPh>
    <rPh sb="11" eb="12">
      <t>ケイ</t>
    </rPh>
    <rPh sb="16" eb="18">
      <t>カンカク</t>
    </rPh>
    <rPh sb="25" eb="27">
      <t>ハンカク</t>
    </rPh>
    <phoneticPr fontId="2"/>
  </si>
  <si>
    <t>作業系のボタン配列：決定＞クリア＞キャンセル</t>
    <phoneticPr fontId="2"/>
  </si>
  <si>
    <t>DB更新系のボタン配列：登録＞新規登録＞継続登録＞変更＞削除＞送付＝承認＞差戻し</t>
    <rPh sb="25" eb="27">
      <t>ヘンコウ</t>
    </rPh>
    <phoneticPr fontId="2"/>
  </si>
  <si>
    <t>画面遷移系ボタンは画面右下に配置する。</t>
    <rPh sb="4" eb="5">
      <t>ケイ</t>
    </rPh>
    <rPh sb="12" eb="13">
      <t>シタ</t>
    </rPh>
    <phoneticPr fontId="2"/>
  </si>
  <si>
    <t>画面表示内容全体に対するオペレーションを実行するボタン(登録、更新、削除、クリア、送付等)は、画面最下部左寄せに配置する。</t>
    <phoneticPr fontId="2"/>
  </si>
  <si>
    <t>画面表示特定範囲に対するオペレーションを実行するボタン(検索等)は、特定範囲の下部左寄せに配置する。</t>
    <rPh sb="0" eb="2">
      <t>ガメン</t>
    </rPh>
    <rPh sb="2" eb="4">
      <t>ヒョウジ</t>
    </rPh>
    <rPh sb="4" eb="6">
      <t>トクテイ</t>
    </rPh>
    <rPh sb="6" eb="8">
      <t>ハンイ</t>
    </rPh>
    <rPh sb="9" eb="10">
      <t>タイ</t>
    </rPh>
    <rPh sb="20" eb="22">
      <t>ジッコウ</t>
    </rPh>
    <rPh sb="28" eb="31">
      <t>ケンサクナド</t>
    </rPh>
    <rPh sb="34" eb="36">
      <t>トクテイ</t>
    </rPh>
    <rPh sb="36" eb="38">
      <t>ハンイ</t>
    </rPh>
    <rPh sb="39" eb="41">
      <t>カブ</t>
    </rPh>
    <rPh sb="41" eb="43">
      <t>ヒダリヨ</t>
    </rPh>
    <rPh sb="45" eb="47">
      <t>ハイチ</t>
    </rPh>
    <phoneticPr fontId="2"/>
  </si>
  <si>
    <t>　メッセージ表示エリア</t>
    <rPh sb="6" eb="8">
      <t>ヒョウジ</t>
    </rPh>
    <phoneticPr fontId="2"/>
  </si>
  <si>
    <t>メッセージ表示エリアは、コンテンツエリア内の上部とする。</t>
    <phoneticPr fontId="2"/>
  </si>
  <si>
    <t>メッセージ出力エリアは、メッセージ出力なしの場合エリアを取らない。</t>
    <rPh sb="5" eb="7">
      <t>シュツリョク</t>
    </rPh>
    <rPh sb="17" eb="19">
      <t>シュツリョク</t>
    </rPh>
    <rPh sb="22" eb="24">
      <t>バアイ</t>
    </rPh>
    <rPh sb="28" eb="29">
      <t>ト</t>
    </rPh>
    <phoneticPr fontId="2"/>
  </si>
  <si>
    <t>メッセージ出力エリアは、メッセージ出力ありの場合、動的にエリアの高さを変動させ、複数メッセージ出力を可能とする。</t>
    <rPh sb="5" eb="7">
      <t>シュツリョク</t>
    </rPh>
    <rPh sb="17" eb="19">
      <t>シュツリョク</t>
    </rPh>
    <rPh sb="22" eb="24">
      <t>バアイ</t>
    </rPh>
    <rPh sb="25" eb="27">
      <t>ドウテキ</t>
    </rPh>
    <rPh sb="32" eb="33">
      <t>タカ</t>
    </rPh>
    <rPh sb="35" eb="37">
      <t>ヘンドウ</t>
    </rPh>
    <rPh sb="40" eb="42">
      <t>フクスウ</t>
    </rPh>
    <rPh sb="47" eb="49">
      <t>シュツリョク</t>
    </rPh>
    <rPh sb="50" eb="52">
      <t>カノウ</t>
    </rPh>
    <phoneticPr fontId="2"/>
  </si>
  <si>
    <t>複数メッセージの出力は存在しない。</t>
    <rPh sb="11" eb="13">
      <t>ソンザイ</t>
    </rPh>
    <phoneticPr fontId="2"/>
  </si>
  <si>
    <t>メッセージは左詰とする。</t>
    <rPh sb="6" eb="8">
      <t>ヒダリヅメ</t>
    </rPh>
    <phoneticPr fontId="2"/>
  </si>
  <si>
    <t>コンポーネント</t>
    <phoneticPr fontId="2"/>
  </si>
  <si>
    <t>全般</t>
    <rPh sb="0" eb="2">
      <t>ゼンパン</t>
    </rPh>
    <phoneticPr fontId="2"/>
  </si>
  <si>
    <t>コンポーネントの間隔が、1スペース(半角13pt)以上である。</t>
    <rPh sb="8" eb="10">
      <t>カンカク</t>
    </rPh>
    <rPh sb="18" eb="20">
      <t>ハンカク</t>
    </rPh>
    <rPh sb="25" eb="27">
      <t>イジョウ</t>
    </rPh>
    <phoneticPr fontId="2"/>
  </si>
  <si>
    <t>選択肢が3項目以下であればラジオボタンを使用する。
3項目以下で入力を必要とする場合はドロップダウンリストを使用する。</t>
    <rPh sb="0" eb="3">
      <t>センタクシ</t>
    </rPh>
    <rPh sb="5" eb="9">
      <t>コウモクイカ</t>
    </rPh>
    <rPh sb="20" eb="22">
      <t>シヨウ</t>
    </rPh>
    <rPh sb="27" eb="31">
      <t>コウモクイカ</t>
    </rPh>
    <rPh sb="32" eb="34">
      <t>ニュウリョク</t>
    </rPh>
    <rPh sb="35" eb="37">
      <t>ヒツヨウ</t>
    </rPh>
    <rPh sb="40" eb="42">
      <t>バアイ</t>
    </rPh>
    <rPh sb="54" eb="56">
      <t>シヨウ</t>
    </rPh>
    <phoneticPr fontId="2"/>
  </si>
  <si>
    <t>テキストボックス</t>
    <phoneticPr fontId="2"/>
  </si>
  <si>
    <t>入力桁最大文字数を入力しても、最後まで表示される。</t>
    <rPh sb="0" eb="2">
      <t>ニュウリョク</t>
    </rPh>
    <rPh sb="2" eb="3">
      <t>ケタ</t>
    </rPh>
    <rPh sb="3" eb="5">
      <t>サイダイ</t>
    </rPh>
    <rPh sb="5" eb="8">
      <t>モジスウ</t>
    </rPh>
    <rPh sb="9" eb="11">
      <t>ニュウリョク</t>
    </rPh>
    <rPh sb="15" eb="17">
      <t>サイゴ</t>
    </rPh>
    <rPh sb="19" eb="21">
      <t>ヒョウジ</t>
    </rPh>
    <phoneticPr fontId="2"/>
  </si>
  <si>
    <t>最大入力</t>
    <rPh sb="0" eb="2">
      <t>サイダイ</t>
    </rPh>
    <rPh sb="2" eb="4">
      <t>ニュウリョク</t>
    </rPh>
    <phoneticPr fontId="2"/>
  </si>
  <si>
    <t>ラジオボタン</t>
    <phoneticPr fontId="2"/>
  </si>
  <si>
    <t>使用頻度の高いものが、最初に選択されている。</t>
    <rPh sb="0" eb="2">
      <t>シヨウ</t>
    </rPh>
    <rPh sb="2" eb="4">
      <t>ヒンド</t>
    </rPh>
    <rPh sb="5" eb="6">
      <t>タカ</t>
    </rPh>
    <rPh sb="11" eb="13">
      <t>サイショ</t>
    </rPh>
    <rPh sb="14" eb="16">
      <t>センタク</t>
    </rPh>
    <phoneticPr fontId="2"/>
  </si>
  <si>
    <t>使用頻度の高いもの</t>
    <phoneticPr fontId="2"/>
  </si>
  <si>
    <t>ボタン</t>
    <phoneticPr fontId="2"/>
  </si>
  <si>
    <t>ボタン名の長さにあったボタン種類を使用している。</t>
    <rPh sb="3" eb="4">
      <t>メイ</t>
    </rPh>
    <rPh sb="5" eb="6">
      <t>ナガ</t>
    </rPh>
    <rPh sb="14" eb="16">
      <t>シュルイ</t>
    </rPh>
    <rPh sb="17" eb="19">
      <t>シヨウ</t>
    </rPh>
    <phoneticPr fontId="2"/>
  </si>
  <si>
    <t>プルダウン</t>
    <phoneticPr fontId="2"/>
  </si>
  <si>
    <t>プルダウンを表示した時、プルダウン項目の内容が最後まで表示される。</t>
    <rPh sb="6" eb="8">
      <t>ヒョウジ</t>
    </rPh>
    <rPh sb="10" eb="11">
      <t>トキ</t>
    </rPh>
    <rPh sb="17" eb="19">
      <t>コウモク</t>
    </rPh>
    <rPh sb="20" eb="22">
      <t>ナイヨウ</t>
    </rPh>
    <rPh sb="23" eb="25">
      <t>サイゴ</t>
    </rPh>
    <rPh sb="27" eb="29">
      <t>ヒョウジ</t>
    </rPh>
    <phoneticPr fontId="2"/>
  </si>
  <si>
    <t>画面内の配色</t>
    <rPh sb="0" eb="3">
      <t>ガメンナイ</t>
    </rPh>
    <rPh sb="4" eb="6">
      <t>ハイショク</t>
    </rPh>
    <phoneticPr fontId="2"/>
  </si>
  <si>
    <t>詳細区分</t>
    <phoneticPr fontId="2"/>
  </si>
  <si>
    <t>色サンプル</t>
    <phoneticPr fontId="2"/>
  </si>
  <si>
    <t>画面背景</t>
  </si>
  <si>
    <t>画面文字</t>
  </si>
  <si>
    <t>画面グループタイトル</t>
    <rPh sb="0" eb="2">
      <t>ガメン</t>
    </rPh>
    <phoneticPr fontId="2"/>
  </si>
  <si>
    <t>該当グループ内にマウスオーバー</t>
    <rPh sb="0" eb="2">
      <t>ガイトウ</t>
    </rPh>
    <rPh sb="6" eb="7">
      <t>ナイ</t>
    </rPh>
    <phoneticPr fontId="2"/>
  </si>
  <si>
    <t>該当グループ外にマウスオーバー</t>
    <rPh sb="6" eb="7">
      <t>ガイ</t>
    </rPh>
    <phoneticPr fontId="2"/>
  </si>
  <si>
    <t>グループ線</t>
    <phoneticPr fontId="2"/>
  </si>
  <si>
    <t>タブ名背景</t>
    <rPh sb="2" eb="3">
      <t>メイ</t>
    </rPh>
    <rPh sb="3" eb="5">
      <t>ハイケイ</t>
    </rPh>
    <phoneticPr fontId="2"/>
  </si>
  <si>
    <t>サブメニュー背景</t>
    <phoneticPr fontId="2"/>
  </si>
  <si>
    <t>未選択時</t>
    <phoneticPr fontId="2"/>
  </si>
  <si>
    <t>選択時</t>
    <phoneticPr fontId="2"/>
  </si>
  <si>
    <t>サブメニュー文字</t>
    <rPh sb="6" eb="8">
      <t>モンジ</t>
    </rPh>
    <phoneticPr fontId="2"/>
  </si>
  <si>
    <t>メインメニュー背景</t>
    <phoneticPr fontId="2"/>
  </si>
  <si>
    <t>メインメニュー文字</t>
    <rPh sb="7" eb="9">
      <t>モンジ</t>
    </rPh>
    <phoneticPr fontId="2"/>
  </si>
  <si>
    <t>リンク</t>
  </si>
  <si>
    <t>リンク（リンク済）</t>
  </si>
  <si>
    <t>インフォメーション情報背景</t>
  </si>
  <si>
    <t>ワーニング情報背景</t>
  </si>
  <si>
    <t>エラー情報背景</t>
  </si>
  <si>
    <t>ボタン背景</t>
  </si>
  <si>
    <t>ホバー時</t>
  </si>
  <si>
    <t>データ更新を伴わないボタン</t>
  </si>
  <si>
    <t>データ登録・更新するボタン</t>
  </si>
  <si>
    <t>データ削除するボタン</t>
  </si>
  <si>
    <t>ボタン文字</t>
    <phoneticPr fontId="2"/>
  </si>
  <si>
    <t>テキストボックス/テキストエリア背景</t>
  </si>
  <si>
    <t>非入力モード時</t>
    <phoneticPr fontId="2"/>
  </si>
  <si>
    <t>非入力モード時(枠線)</t>
    <phoneticPr fontId="2"/>
  </si>
  <si>
    <t>入力モード時(背景)</t>
    <phoneticPr fontId="2"/>
  </si>
  <si>
    <t>入力モード時(枠線)</t>
  </si>
  <si>
    <t>入力不可時（#DDDDDD）</t>
    <phoneticPr fontId="2"/>
  </si>
  <si>
    <t>ドロップダウンリスト背景色</t>
    <phoneticPr fontId="2"/>
  </si>
  <si>
    <t>未選択時(枠線)</t>
    <phoneticPr fontId="2"/>
  </si>
  <si>
    <t>入力モード時(選択背景)</t>
    <rPh sb="7" eb="9">
      <t>センタク</t>
    </rPh>
    <rPh sb="9" eb="11">
      <t>ハイケイ</t>
    </rPh>
    <phoneticPr fontId="2"/>
  </si>
  <si>
    <t>入力モード時(枠線)</t>
    <phoneticPr fontId="2"/>
  </si>
  <si>
    <t>テーブル背景色</t>
    <phoneticPr fontId="2"/>
  </si>
  <si>
    <t>テーブル枠線</t>
    <phoneticPr fontId="2"/>
  </si>
  <si>
    <t>グリッド(一覧)背景色</t>
    <phoneticPr fontId="2"/>
  </si>
  <si>
    <t>ヘッダー（列）</t>
    <rPh sb="5" eb="6">
      <t>レツ</t>
    </rPh>
    <phoneticPr fontId="2"/>
  </si>
  <si>
    <t>ヘッダー（行）</t>
    <rPh sb="5" eb="6">
      <t>ギョウ</t>
    </rPh>
    <phoneticPr fontId="2"/>
  </si>
  <si>
    <t>奇数行</t>
  </si>
  <si>
    <t>偶数行</t>
  </si>
  <si>
    <t>ホバー時</t>
    <phoneticPr fontId="2"/>
  </si>
  <si>
    <t>グリッド(一覧)文字</t>
    <phoneticPr fontId="2"/>
  </si>
  <si>
    <t>一覧表の列名</t>
    <rPh sb="4" eb="5">
      <t>レツ</t>
    </rPh>
    <rPh sb="5" eb="6">
      <t>メイ</t>
    </rPh>
    <phoneticPr fontId="2"/>
  </si>
  <si>
    <t>フォント設定</t>
    <rPh sb="4" eb="6">
      <t>セッテイ</t>
    </rPh>
    <phoneticPr fontId="2"/>
  </si>
  <si>
    <t>フォント種類：「メイリオ」を優先
「メイリオ」がインストールされていない環境で、「ＭＳ ゴシック」を使用する。</t>
    <rPh sb="4" eb="6">
      <t>シュルイ</t>
    </rPh>
    <phoneticPr fontId="2"/>
  </si>
  <si>
    <t>フォントサイズ：13pt</t>
    <phoneticPr fontId="2"/>
  </si>
  <si>
    <t>日本語は全角、英数字は半角とする。</t>
    <phoneticPr fontId="2"/>
  </si>
  <si>
    <t>その他</t>
    <rPh sb="2" eb="3">
      <t>タ</t>
    </rPh>
    <phoneticPr fontId="2"/>
  </si>
  <si>
    <t>選定サブメニュー名、各タブ名は太字で表示されている。</t>
    <rPh sb="0" eb="2">
      <t>センテイ</t>
    </rPh>
    <rPh sb="8" eb="9">
      <t>メイ</t>
    </rPh>
    <rPh sb="10" eb="11">
      <t>カク</t>
    </rPh>
    <rPh sb="15" eb="17">
      <t>フトジ</t>
    </rPh>
    <rPh sb="18" eb="20">
      <t>ヒョウジ</t>
    </rPh>
    <phoneticPr fontId="2"/>
  </si>
  <si>
    <t>単位表記</t>
    <rPh sb="0" eb="2">
      <t>タンイ</t>
    </rPh>
    <rPh sb="2" eb="4">
      <t>ヒョウキ</t>
    </rPh>
    <phoneticPr fontId="2"/>
  </si>
  <si>
    <t>金額項目</t>
    <rPh sb="0" eb="2">
      <t>キンガク</t>
    </rPh>
    <rPh sb="2" eb="4">
      <t>コウモク</t>
    </rPh>
    <phoneticPr fontId="2"/>
  </si>
  <si>
    <t>画面内で単一の金額単位表示となっている場合、画面右上（登録系であれば入力エリア右上、一覧であれば一覧右上）に表示する。</t>
    <phoneticPr fontId="2"/>
  </si>
  <si>
    <t>画面内で金額単位が混在している場合、画面右上への表示は行わず、登録系・一覧系いずれの場合も、各項目の項目タイトル横に各単位を表示する。</t>
    <rPh sb="0" eb="3">
      <t>ガメンナイ</t>
    </rPh>
    <rPh sb="4" eb="6">
      <t>キンガク</t>
    </rPh>
    <rPh sb="6" eb="8">
      <t>タンイ</t>
    </rPh>
    <rPh sb="33" eb="34">
      <t>ケイ</t>
    </rPh>
    <rPh sb="37" eb="38">
      <t>ケイ</t>
    </rPh>
    <phoneticPr fontId="2"/>
  </si>
  <si>
    <t>その他項目</t>
    <rPh sb="2" eb="3">
      <t>タ</t>
    </rPh>
    <rPh sb="3" eb="5">
      <t>コウモク</t>
    </rPh>
    <phoneticPr fontId="2"/>
  </si>
  <si>
    <t>登録系画面の場合、入力項目の欄外右側に単位記号を表記する。</t>
    <rPh sb="0" eb="2">
      <t>トウロク</t>
    </rPh>
    <rPh sb="2" eb="3">
      <t>ケイ</t>
    </rPh>
    <rPh sb="3" eb="5">
      <t>ガメン</t>
    </rPh>
    <rPh sb="6" eb="8">
      <t>バアイ</t>
    </rPh>
    <rPh sb="9" eb="11">
      <t>ニュウリョク</t>
    </rPh>
    <rPh sb="11" eb="13">
      <t>コウモク</t>
    </rPh>
    <rPh sb="14" eb="16">
      <t>ランガイ</t>
    </rPh>
    <rPh sb="16" eb="18">
      <t>ミギガワ</t>
    </rPh>
    <rPh sb="19" eb="21">
      <t>タンイ</t>
    </rPh>
    <rPh sb="21" eb="23">
      <t>キゴウ</t>
    </rPh>
    <rPh sb="24" eb="26">
      <t>ヒョウキ</t>
    </rPh>
    <phoneticPr fontId="2"/>
  </si>
  <si>
    <t>一覧の場合、各項目の項目タイトルに各単位を括弧で括って表示する。</t>
    <rPh sb="0" eb="2">
      <t>イチラン</t>
    </rPh>
    <rPh sb="3" eb="5">
      <t>バアイ</t>
    </rPh>
    <rPh sb="6" eb="9">
      <t>カクコウモク</t>
    </rPh>
    <rPh sb="10" eb="12">
      <t>コウモク</t>
    </rPh>
    <rPh sb="17" eb="18">
      <t>カク</t>
    </rPh>
    <rPh sb="18" eb="20">
      <t>タンイ</t>
    </rPh>
    <rPh sb="21" eb="23">
      <t>カッコ</t>
    </rPh>
    <rPh sb="24" eb="25">
      <t>クク</t>
    </rPh>
    <rPh sb="27" eb="29">
      <t>ヒョウジ</t>
    </rPh>
    <phoneticPr fontId="2"/>
  </si>
  <si>
    <t>レイアウト詳細</t>
    <rPh sb="5" eb="7">
      <t>ショウサイ</t>
    </rPh>
    <phoneticPr fontId="2"/>
  </si>
  <si>
    <t>リンクボタン</t>
    <phoneticPr fontId="2"/>
  </si>
  <si>
    <t>リンクボタンで画面切替を行う場合、リンクはテーブルに入れる。</t>
    <rPh sb="7" eb="9">
      <t>ガメン</t>
    </rPh>
    <rPh sb="9" eb="11">
      <t>キリカエ</t>
    </rPh>
    <rPh sb="12" eb="13">
      <t>オコナ</t>
    </rPh>
    <rPh sb="14" eb="16">
      <t>バアイ</t>
    </rPh>
    <rPh sb="26" eb="27">
      <t>イ</t>
    </rPh>
    <phoneticPr fontId="2"/>
  </si>
  <si>
    <t>選択時はテーブル背景の色を変え、どちらを選択しているか明示させる。</t>
    <rPh sb="0" eb="2">
      <t>センタク</t>
    </rPh>
    <rPh sb="2" eb="3">
      <t>ジ</t>
    </rPh>
    <rPh sb="8" eb="10">
      <t>ハイケイ</t>
    </rPh>
    <rPh sb="11" eb="12">
      <t>イロ</t>
    </rPh>
    <rPh sb="13" eb="14">
      <t>カ</t>
    </rPh>
    <rPh sb="20" eb="22">
      <t>センタク</t>
    </rPh>
    <rPh sb="27" eb="29">
      <t>メイジ</t>
    </rPh>
    <phoneticPr fontId="2"/>
  </si>
  <si>
    <t>店番入力項目</t>
    <rPh sb="0" eb="1">
      <t>テン</t>
    </rPh>
    <rPh sb="1" eb="2">
      <t>バン</t>
    </rPh>
    <rPh sb="2" eb="4">
      <t>ニュウリョク</t>
    </rPh>
    <rPh sb="4" eb="6">
      <t>コウモク</t>
    </rPh>
    <phoneticPr fontId="2"/>
  </si>
  <si>
    <t>基本的に、ドロップダウンリストで作成する。</t>
    <rPh sb="0" eb="3">
      <t>キホンテキ</t>
    </rPh>
    <rPh sb="16" eb="18">
      <t>サクセイ</t>
    </rPh>
    <phoneticPr fontId="2"/>
  </si>
  <si>
    <t>必須項目</t>
    <rPh sb="0" eb="2">
      <t>ヒッス</t>
    </rPh>
    <rPh sb="2" eb="4">
      <t>コウモク</t>
    </rPh>
    <phoneticPr fontId="2"/>
  </si>
  <si>
    <t>エラー発生時用の「◆」が出力できる余裕を設ける。</t>
    <rPh sb="3" eb="5">
      <t>ハッセイ</t>
    </rPh>
    <rPh sb="5" eb="6">
      <t>ジ</t>
    </rPh>
    <rPh sb="6" eb="7">
      <t>ヨウ</t>
    </rPh>
    <rPh sb="12" eb="14">
      <t>シュツリョク</t>
    </rPh>
    <rPh sb="17" eb="19">
      <t>ヨユウ</t>
    </rPh>
    <rPh sb="20" eb="21">
      <t>モウ</t>
    </rPh>
    <phoneticPr fontId="2"/>
  </si>
  <si>
    <t>余白様式</t>
    <rPh sb="2" eb="4">
      <t>ヨウシキ</t>
    </rPh>
    <phoneticPr fontId="2"/>
  </si>
  <si>
    <t>全画面統一、例：
・グループ線の周り
・横縦スクロールの周り　など</t>
    <rPh sb="0" eb="3">
      <t>ゼンガメン</t>
    </rPh>
    <rPh sb="3" eb="5">
      <t>トウイツ</t>
    </rPh>
    <rPh sb="6" eb="7">
      <t>レイ</t>
    </rPh>
    <rPh sb="14" eb="15">
      <t>セン</t>
    </rPh>
    <rPh sb="16" eb="17">
      <t>マワ</t>
    </rPh>
    <rPh sb="20" eb="21">
      <t>ヨコ</t>
    </rPh>
    <rPh sb="21" eb="22">
      <t>タテ</t>
    </rPh>
    <rPh sb="28" eb="29">
      <t>マワ</t>
    </rPh>
    <phoneticPr fontId="2"/>
  </si>
  <si>
    <t>テキストボックス、ボタン、ドロップダウンリストなど</t>
    <phoneticPr fontId="2"/>
  </si>
  <si>
    <t>角は丸く表示する。
※IE8では角は丸くならない。</t>
    <rPh sb="4" eb="6">
      <t>ヒョウジ</t>
    </rPh>
    <phoneticPr fontId="2"/>
  </si>
  <si>
    <t>画面動作</t>
    <phoneticPr fontId="2"/>
  </si>
  <si>
    <t>ファンクションキー</t>
    <phoneticPr fontId="2"/>
  </si>
  <si>
    <t>F1～F12 一切機能を割当てない。</t>
    <phoneticPr fontId="2"/>
  </si>
  <si>
    <t>右クリック</t>
    <rPh sb="0" eb="1">
      <t>ミギ</t>
    </rPh>
    <phoneticPr fontId="2"/>
  </si>
  <si>
    <t>右クリックおよび右クリックに相当するキーには、一切機能を割当てない。</t>
    <phoneticPr fontId="2"/>
  </si>
  <si>
    <t>Tabキー</t>
    <phoneticPr fontId="2"/>
  </si>
  <si>
    <t>Tabキーで順方向へ遷移する。</t>
    <rPh sb="6" eb="9">
      <t>ジュンホウコウ</t>
    </rPh>
    <rPh sb="10" eb="12">
      <t>センイ</t>
    </rPh>
    <phoneticPr fontId="2"/>
  </si>
  <si>
    <t>Shift+Tabキーで逆方向へ遷移する。</t>
    <rPh sb="12" eb="13">
      <t>ギャク</t>
    </rPh>
    <rPh sb="13" eb="15">
      <t>ホウコウ</t>
    </rPh>
    <rPh sb="16" eb="18">
      <t>センイ</t>
    </rPh>
    <phoneticPr fontId="2"/>
  </si>
  <si>
    <t>コンテンツエリア外（ヘッダー、メインメニュー、サブメニュー、ナビ）へは遷移しない</t>
    <phoneticPr fontId="2"/>
  </si>
  <si>
    <t>サブシステムリンクのキーアサイン優先順位は下げる。(画面最下部の各種ボタンの後)</t>
    <phoneticPr fontId="2"/>
  </si>
  <si>
    <t>入力項目がある場合、デフォルトでボタンにフォーカスを当てない</t>
    <rPh sb="0" eb="2">
      <t>ニュウリョク</t>
    </rPh>
    <rPh sb="2" eb="4">
      <t>コウモク</t>
    </rPh>
    <rPh sb="7" eb="9">
      <t>バアイ</t>
    </rPh>
    <rPh sb="26" eb="27">
      <t>ア</t>
    </rPh>
    <phoneticPr fontId="2"/>
  </si>
  <si>
    <t>IEの進む、戻る</t>
    <rPh sb="3" eb="4">
      <t>スス</t>
    </rPh>
    <rPh sb="6" eb="7">
      <t>モド</t>
    </rPh>
    <phoneticPr fontId="2"/>
  </si>
  <si>
    <t>IEブラウザ上の[←戻る][進む→]で操作する場合、直前状態のままで表示する。</t>
    <phoneticPr fontId="2"/>
  </si>
  <si>
    <t>・[←戻る][←戻る][進む→][進む→]の操作順番など組合せて確認すること</t>
    <rPh sb="22" eb="24">
      <t>ソウサ</t>
    </rPh>
    <rPh sb="24" eb="26">
      <t>ジュンバン</t>
    </rPh>
    <rPh sb="28" eb="30">
      <t>クミアワ</t>
    </rPh>
    <rPh sb="32" eb="34">
      <t>カクニン</t>
    </rPh>
    <phoneticPr fontId="2"/>
  </si>
  <si>
    <t>入出力項目( 登録後の照会含む)</t>
    <rPh sb="0" eb="3">
      <t>ニュウシュツリョク</t>
    </rPh>
    <rPh sb="3" eb="5">
      <t>コウモク</t>
    </rPh>
    <rPh sb="7" eb="9">
      <t>トウロク</t>
    </rPh>
    <rPh sb="9" eb="10">
      <t>ゴ</t>
    </rPh>
    <rPh sb="11" eb="13">
      <t>ショウカイ</t>
    </rPh>
    <rPh sb="13" eb="14">
      <t>フク</t>
    </rPh>
    <phoneticPr fontId="2"/>
  </si>
  <si>
    <t>登録系画面（項目名、入力項目が横並びの場合）</t>
    <rPh sb="0" eb="2">
      <t>トウロク</t>
    </rPh>
    <rPh sb="2" eb="3">
      <t>ケイ</t>
    </rPh>
    <rPh sb="3" eb="5">
      <t>ガメン</t>
    </rPh>
    <phoneticPr fontId="2"/>
  </si>
  <si>
    <t>・入力可能最大桁数／表示可能最大桁数がテーブル定義桁数と一致にする</t>
    <rPh sb="1" eb="3">
      <t>ニュウリョク</t>
    </rPh>
    <rPh sb="3" eb="5">
      <t>カノウ</t>
    </rPh>
    <rPh sb="5" eb="7">
      <t>サイダイ</t>
    </rPh>
    <rPh sb="7" eb="8">
      <t>ケタ</t>
    </rPh>
    <rPh sb="8" eb="9">
      <t>スウ</t>
    </rPh>
    <rPh sb="10" eb="12">
      <t>ヒョウジ</t>
    </rPh>
    <rPh sb="12" eb="14">
      <t>カノウ</t>
    </rPh>
    <rPh sb="14" eb="16">
      <t>サイダイ</t>
    </rPh>
    <rPh sb="16" eb="18">
      <t>ケタスウ</t>
    </rPh>
    <rPh sb="23" eb="25">
      <t>テイギ</t>
    </rPh>
    <rPh sb="25" eb="27">
      <t>ケタスウ</t>
    </rPh>
    <rPh sb="28" eb="30">
      <t>イッチ</t>
    </rPh>
    <phoneticPr fontId="2"/>
  </si>
  <si>
    <t>　項目名</t>
    <phoneticPr fontId="2"/>
  </si>
  <si>
    <t>表示配置は右詰とする。</t>
    <rPh sb="0" eb="2">
      <t>ヒョウジ</t>
    </rPh>
    <rPh sb="2" eb="4">
      <t>ハイチ</t>
    </rPh>
    <rPh sb="5" eb="7">
      <t>ミギヅメ</t>
    </rPh>
    <phoneticPr fontId="2"/>
  </si>
  <si>
    <t>　項目単位</t>
    <phoneticPr fontId="2"/>
  </si>
  <si>
    <t>表示は左詰。</t>
    <rPh sb="0" eb="2">
      <t>ヒョウジ</t>
    </rPh>
    <rPh sb="3" eb="5">
      <t>ヒダリヅメ</t>
    </rPh>
    <phoneticPr fontId="2"/>
  </si>
  <si>
    <t>　数値項目　初期表示</t>
    <rPh sb="1" eb="3">
      <t>スウチ</t>
    </rPh>
    <rPh sb="3" eb="5">
      <t>コウモク</t>
    </rPh>
    <rPh sb="6" eb="8">
      <t>ショキ</t>
    </rPh>
    <rPh sb="8" eb="10">
      <t>ヒョウジ</t>
    </rPh>
    <phoneticPr fontId="2"/>
  </si>
  <si>
    <t>数値入力項目の初期値はブランクとする。
※業務仕様的に必要であれば初期値を表示する。（現行参照）</t>
    <rPh sb="43" eb="45">
      <t>ゲンコウ</t>
    </rPh>
    <rPh sb="45" eb="47">
      <t>サンショウ</t>
    </rPh>
    <phoneticPr fontId="2"/>
  </si>
  <si>
    <t>　年月日入力（テキスト）</t>
    <rPh sb="1" eb="4">
      <t>ネンガッピ</t>
    </rPh>
    <rPh sb="4" eb="6">
      <t>ニュウリョク</t>
    </rPh>
    <phoneticPr fontId="2"/>
  </si>
  <si>
    <t>入力形式は入力補助用にカレンダーを付ける</t>
    <rPh sb="0" eb="2">
      <t>ニュウリョク</t>
    </rPh>
    <rPh sb="2" eb="4">
      <t>ケイシキ</t>
    </rPh>
    <phoneticPr fontId="2"/>
  </si>
  <si>
    <t>ブランク</t>
    <phoneticPr fontId="2"/>
  </si>
  <si>
    <t>最大8桁
※特に、操作ボタンを押す後、画面遷移しない場合は操作前後の最大桁数の一致性確認</t>
    <rPh sb="0" eb="2">
      <t>サイダイ</t>
    </rPh>
    <rPh sb="3" eb="4">
      <t>ケタ</t>
    </rPh>
    <phoneticPr fontId="2"/>
  </si>
  <si>
    <t>年月日入力と年月入力が同様なカレンダーをつける</t>
    <rPh sb="11" eb="13">
      <t>ドウヨウ</t>
    </rPh>
    <phoneticPr fontId="2"/>
  </si>
  <si>
    <t>入力形式はyyyymmddとする。</t>
    <phoneticPr fontId="2"/>
  </si>
  <si>
    <t>表示形式はyyyy/mm/ddとする。</t>
    <rPh sb="0" eb="2">
      <t>ヒョウジ</t>
    </rPh>
    <rPh sb="2" eb="4">
      <t>ケイシキ</t>
    </rPh>
    <phoneticPr fontId="2"/>
  </si>
  <si>
    <t>入力の場合、クリアアイコン[x]が表示しない</t>
    <phoneticPr fontId="2"/>
  </si>
  <si>
    <t>入力内容有効性をチェックする。</t>
    <rPh sb="0" eb="2">
      <t>ニュウリョク</t>
    </rPh>
    <rPh sb="2" eb="4">
      <t>ナイヨウ</t>
    </rPh>
    <rPh sb="4" eb="7">
      <t>ユウコウセイ</t>
    </rPh>
    <phoneticPr fontId="2"/>
  </si>
  <si>
    <t>　年月入力（テキスト）</t>
    <phoneticPr fontId="2"/>
  </si>
  <si>
    <t>最大6桁
※特に、操作ボタンを押す後、画面遷移しない場合は操作前後の最大桁数の一致性確認</t>
    <rPh sb="0" eb="2">
      <t>サイダイ</t>
    </rPh>
    <rPh sb="3" eb="4">
      <t>ケタ</t>
    </rPh>
    <phoneticPr fontId="2"/>
  </si>
  <si>
    <t>入力形式はyyyymmとする。</t>
    <phoneticPr fontId="2"/>
  </si>
  <si>
    <t>表示形式はyyyy/mmとする。</t>
    <rPh sb="0" eb="2">
      <t>ヒョウジ</t>
    </rPh>
    <rPh sb="2" eb="4">
      <t>ケイシキ</t>
    </rPh>
    <phoneticPr fontId="2"/>
  </si>
  <si>
    <t>　年月入力（ドロップダウン）</t>
    <phoneticPr fontId="2"/>
  </si>
  <si>
    <t>　金額</t>
    <rPh sb="1" eb="3">
      <t>キンガク</t>
    </rPh>
    <phoneticPr fontId="2"/>
  </si>
  <si>
    <t>入力形式は通常(nnnn…数字のみ)。</t>
    <rPh sb="0" eb="2">
      <t>ニュウリョク</t>
    </rPh>
    <rPh sb="2" eb="4">
      <t>ケイシキ</t>
    </rPh>
    <rPh sb="5" eb="7">
      <t>ツウジョウ</t>
    </rPh>
    <rPh sb="13" eb="15">
      <t>スウジ</t>
    </rPh>
    <phoneticPr fontId="2"/>
  </si>
  <si>
    <t>最大n桁
※特に、操作ボタンを押す後、画面遷移しない場合は操作前後の最大桁数の一致性確認</t>
    <phoneticPr fontId="2"/>
  </si>
  <si>
    <t>表示形式は、カンマ編集を行う。</t>
    <rPh sb="0" eb="2">
      <t>ヒョウジ</t>
    </rPh>
    <rPh sb="2" eb="4">
      <t>ケイシキ</t>
    </rPh>
    <rPh sb="9" eb="11">
      <t>ヘンシュウ</t>
    </rPh>
    <rPh sb="12" eb="13">
      <t>オコナ</t>
    </rPh>
    <phoneticPr fontId="2"/>
  </si>
  <si>
    <t>・円単位：14桁(カンマを含めると18桁)
・千円単位：11桁(カンマを含めると14桁)
・百万円単位：8桁(カンマを含めると10桁)
※合計は上記に1桁加算した桁数とする。</t>
    <rPh sb="69" eb="71">
      <t>ゴウケイ</t>
    </rPh>
    <rPh sb="72" eb="74">
      <t>ジョウキ</t>
    </rPh>
    <rPh sb="76" eb="77">
      <t>ケタ</t>
    </rPh>
    <rPh sb="77" eb="79">
      <t>カサン</t>
    </rPh>
    <rPh sb="81" eb="83">
      <t>ケタスウ</t>
    </rPh>
    <phoneticPr fontId="2"/>
  </si>
  <si>
    <t>マイナス表示は、下記のどちらかを要件に応じて使用する。特に要件が無い場合は①を使用する。
①「▲」
②「-」</t>
    <phoneticPr fontId="2"/>
  </si>
  <si>
    <t>　数値</t>
    <phoneticPr fontId="2"/>
  </si>
  <si>
    <t>表示は左詰、単位が項目の右にある場合は、右寄せ表示とする。</t>
    <rPh sb="0" eb="2">
      <t>ヒョウジ</t>
    </rPh>
    <rPh sb="3" eb="5">
      <t>ヒダリヅメ</t>
    </rPh>
    <phoneticPr fontId="2"/>
  </si>
  <si>
    <t>　レート・金利</t>
    <phoneticPr fontId="2"/>
  </si>
  <si>
    <t>整数3桁、小数5桁まで。</t>
    <rPh sb="0" eb="2">
      <t>セイスウ</t>
    </rPh>
    <rPh sb="3" eb="4">
      <t>ケタ</t>
    </rPh>
    <rPh sb="5" eb="6">
      <t>ショウ</t>
    </rPh>
    <rPh sb="6" eb="7">
      <t>スウ</t>
    </rPh>
    <rPh sb="8" eb="9">
      <t>ケタ</t>
    </rPh>
    <phoneticPr fontId="2"/>
  </si>
  <si>
    <t>整数3桁、小数5桁
※特に、操作ボタンを押す後、画面遷移しない場合は操作前後の最大桁数の一致性確認</t>
    <phoneticPr fontId="2"/>
  </si>
  <si>
    <t>　文字列（縦スクロールなしテキスト）</t>
    <rPh sb="1" eb="4">
      <t>モジレツ</t>
    </rPh>
    <phoneticPr fontId="2"/>
  </si>
  <si>
    <t>表示は左詰、単位が項目の右にある場合は、右寄せ表示とする。
クリアアイコン[x]が表示とする</t>
    <rPh sb="0" eb="2">
      <t>ヒョウジ</t>
    </rPh>
    <rPh sb="3" eb="5">
      <t>ヒダリヅメ</t>
    </rPh>
    <phoneticPr fontId="2"/>
  </si>
  <si>
    <t>　文字列（縦スクロールありテキスト）</t>
    <rPh sb="1" eb="4">
      <t>モジレツ</t>
    </rPh>
    <phoneticPr fontId="2"/>
  </si>
  <si>
    <t>表示は左詰、入力の場合、クリアアイコン[x]が表示しない</t>
    <rPh sb="0" eb="2">
      <t>ヒョウジ</t>
    </rPh>
    <rPh sb="3" eb="5">
      <t>ヒダリヅメ</t>
    </rPh>
    <phoneticPr fontId="2"/>
  </si>
  <si>
    <t>　必須入力項目</t>
    <phoneticPr fontId="2"/>
  </si>
  <si>
    <t>必須入力項目の項目名の先頭に赤字の「*」を付与する（プールダウンも同様）</t>
    <rPh sb="33" eb="35">
      <t>ドウヨウ</t>
    </rPh>
    <phoneticPr fontId="2"/>
  </si>
  <si>
    <t>登録系画面（項目名、入力項目が縦並びの場合）</t>
    <rPh sb="0" eb="2">
      <t>トウロク</t>
    </rPh>
    <rPh sb="2" eb="3">
      <t>ケイ</t>
    </rPh>
    <rPh sb="3" eb="5">
      <t>ガメン</t>
    </rPh>
    <phoneticPr fontId="2"/>
  </si>
  <si>
    <t>表示は中央揃え。</t>
    <rPh sb="0" eb="2">
      <t>ヒョウジ</t>
    </rPh>
    <rPh sb="3" eb="5">
      <t>チュウオウ</t>
    </rPh>
    <rPh sb="5" eb="6">
      <t>ゾロ</t>
    </rPh>
    <phoneticPr fontId="2"/>
  </si>
  <si>
    <t>最大n桁</t>
  </si>
  <si>
    <t>最大8桁
※特に、操作ボタンを押す後、画面遷移しない場合は操作前後の最大桁数の一致性確認</t>
    <rPh sb="0" eb="2">
      <t>サイダイ</t>
    </rPh>
    <rPh sb="3" eb="4">
      <t>ケタ</t>
    </rPh>
    <rPh sb="6" eb="7">
      <t>トク</t>
    </rPh>
    <rPh sb="9" eb="11">
      <t>ソウサ</t>
    </rPh>
    <rPh sb="15" eb="16">
      <t>オ</t>
    </rPh>
    <rPh sb="17" eb="18">
      <t>ゴ</t>
    </rPh>
    <rPh sb="19" eb="21">
      <t>ガメン</t>
    </rPh>
    <rPh sb="21" eb="23">
      <t>センイ</t>
    </rPh>
    <rPh sb="26" eb="28">
      <t>バアイ</t>
    </rPh>
    <rPh sb="29" eb="31">
      <t>ソウサ</t>
    </rPh>
    <rPh sb="31" eb="33">
      <t>ゼンゴ</t>
    </rPh>
    <rPh sb="34" eb="36">
      <t>サイダイ</t>
    </rPh>
    <rPh sb="36" eb="37">
      <t>ケタ</t>
    </rPh>
    <rPh sb="37" eb="38">
      <t>スウ</t>
    </rPh>
    <rPh sb="39" eb="41">
      <t>イッチ</t>
    </rPh>
    <rPh sb="41" eb="42">
      <t>セイ</t>
    </rPh>
    <rPh sb="42" eb="44">
      <t>カクニン</t>
    </rPh>
    <phoneticPr fontId="2"/>
  </si>
  <si>
    <t>表示は左詰、入力の場合、クリアアイコン[x]が表示しない</t>
    <phoneticPr fontId="2"/>
  </si>
  <si>
    <t>　文字列（固定長）</t>
    <rPh sb="1" eb="4">
      <t>モジレツ</t>
    </rPh>
    <phoneticPr fontId="2"/>
  </si>
  <si>
    <t>長さが固定の文字列データは、中央寄せ表示とする。</t>
    <rPh sb="0" eb="1">
      <t>ナガ</t>
    </rPh>
    <rPh sb="3" eb="5">
      <t>コテイ</t>
    </rPh>
    <rPh sb="6" eb="9">
      <t>モジレツ</t>
    </rPh>
    <rPh sb="14" eb="17">
      <t>チュウオウヨ</t>
    </rPh>
    <rPh sb="18" eb="20">
      <t>ヒョウジ</t>
    </rPh>
    <phoneticPr fontId="2"/>
  </si>
  <si>
    <t>　文字列（可変長）</t>
    <rPh sb="1" eb="4">
      <t>モジレツ</t>
    </rPh>
    <phoneticPr fontId="2"/>
  </si>
  <si>
    <t>長さが可変の文字列データは、左寄せ表示とする。</t>
    <phoneticPr fontId="2"/>
  </si>
  <si>
    <t>表示は左詰、単位が項目の右にある場合は、右寄せ表示とする。
クリアアイコン[x]が表示とする。</t>
    <rPh sb="0" eb="2">
      <t>ヒョウジ</t>
    </rPh>
    <rPh sb="3" eb="5">
      <t>ヒダリヅメ</t>
    </rPh>
    <phoneticPr fontId="2"/>
  </si>
  <si>
    <t>　文字列（ドロップダウン）</t>
    <phoneticPr fontId="2"/>
  </si>
  <si>
    <t>必須入力項目の項目名の先頭に赤字の「*」を付与する</t>
    <phoneticPr fontId="2"/>
  </si>
  <si>
    <t>　一覧表示画面（グリッド一覧表示）</t>
    <rPh sb="1" eb="3">
      <t>イチラン</t>
    </rPh>
    <rPh sb="3" eb="5">
      <t>ヒョウジ</t>
    </rPh>
    <rPh sb="5" eb="7">
      <t>ガメン</t>
    </rPh>
    <rPh sb="12" eb="14">
      <t>イチラン</t>
    </rPh>
    <rPh sb="14" eb="16">
      <t>ヒョウジ</t>
    </rPh>
    <phoneticPr fontId="2"/>
  </si>
  <si>
    <t>1データを2行以上にまたがって表示する場合、1行目の表示配置を踏襲する。</t>
    <phoneticPr fontId="2"/>
  </si>
  <si>
    <t>　ヘッダー項目名</t>
    <phoneticPr fontId="2"/>
  </si>
  <si>
    <t>　年月日</t>
    <rPh sb="1" eb="4">
      <t>ネンガッピ</t>
    </rPh>
    <phoneticPr fontId="2"/>
  </si>
  <si>
    <t>　年月</t>
    <phoneticPr fontId="2"/>
  </si>
  <si>
    <t>　金額・数値</t>
    <rPh sb="1" eb="3">
      <t>キンガク</t>
    </rPh>
    <rPh sb="4" eb="6">
      <t>スウチ</t>
    </rPh>
    <phoneticPr fontId="2"/>
  </si>
  <si>
    <t>小数点以下は5桁まで。</t>
    <rPh sb="0" eb="3">
      <t>ショウスウテン</t>
    </rPh>
    <rPh sb="3" eb="5">
      <t>イカ</t>
    </rPh>
    <rPh sb="7" eb="8">
      <t>ケタ</t>
    </rPh>
    <phoneticPr fontId="2"/>
  </si>
  <si>
    <t>　区分</t>
    <rPh sb="1" eb="3">
      <t>クブン</t>
    </rPh>
    <phoneticPr fontId="2"/>
  </si>
  <si>
    <t>　番号</t>
    <rPh sb="1" eb="3">
      <t>バンゴウ</t>
    </rPh>
    <phoneticPr fontId="2"/>
  </si>
  <si>
    <t>　ステータス</t>
    <phoneticPr fontId="2"/>
  </si>
  <si>
    <t>　その他</t>
    <rPh sb="3" eb="4">
      <t>タ</t>
    </rPh>
    <phoneticPr fontId="2"/>
  </si>
  <si>
    <t>　記号</t>
    <rPh sb="1" eb="3">
      <t>キゴウ</t>
    </rPh>
    <phoneticPr fontId="2"/>
  </si>
  <si>
    <t>　チェックボックス</t>
    <phoneticPr fontId="2"/>
  </si>
  <si>
    <t>　ラジオボタン</t>
    <phoneticPr fontId="2"/>
  </si>
  <si>
    <t>　ボタン</t>
    <phoneticPr fontId="2"/>
  </si>
  <si>
    <t>クリア</t>
    <phoneticPr fontId="2"/>
  </si>
  <si>
    <t>画面状態を初期化する。画面遷移は行わない。</t>
    <rPh sb="0" eb="2">
      <t>ガメン</t>
    </rPh>
    <rPh sb="2" eb="4">
      <t>ジョウタイ</t>
    </rPh>
    <rPh sb="5" eb="8">
      <t>ショキカ</t>
    </rPh>
    <rPh sb="11" eb="13">
      <t>ガメン</t>
    </rPh>
    <rPh sb="13" eb="15">
      <t>センイ</t>
    </rPh>
    <rPh sb="16" eb="17">
      <t>オコナ</t>
    </rPh>
    <phoneticPr fontId="2"/>
  </si>
  <si>
    <t>キャンセル</t>
    <phoneticPr fontId="2"/>
  </si>
  <si>
    <t>画面処理を中断する。画面遷移図に従い画面遷移を行う。</t>
    <rPh sb="0" eb="2">
      <t>ガメン</t>
    </rPh>
    <rPh sb="2" eb="4">
      <t>ショリ</t>
    </rPh>
    <rPh sb="5" eb="7">
      <t>チュウダン</t>
    </rPh>
    <rPh sb="10" eb="12">
      <t>ガメン</t>
    </rPh>
    <rPh sb="12" eb="15">
      <t>センイズ</t>
    </rPh>
    <rPh sb="16" eb="17">
      <t>シタガ</t>
    </rPh>
    <rPh sb="18" eb="20">
      <t>ガメン</t>
    </rPh>
    <rPh sb="20" eb="22">
      <t>センイ</t>
    </rPh>
    <rPh sb="23" eb="24">
      <t>オコナ</t>
    </rPh>
    <phoneticPr fontId="2"/>
  </si>
  <si>
    <t>詳細情報</t>
    <rPh sb="0" eb="2">
      <t>ショウサイ</t>
    </rPh>
    <rPh sb="2" eb="4">
      <t>ジョウホウ</t>
    </rPh>
    <phoneticPr fontId="2"/>
  </si>
  <si>
    <t>一覧からデータを選択して詳細画面へ遷移する場合はリンクにより遷移させる。</t>
    <rPh sb="0" eb="2">
      <t>イチラン</t>
    </rPh>
    <rPh sb="8" eb="10">
      <t>センタク</t>
    </rPh>
    <rPh sb="12" eb="14">
      <t>ショウサイ</t>
    </rPh>
    <rPh sb="14" eb="16">
      <t>ガメン</t>
    </rPh>
    <rPh sb="17" eb="19">
      <t>センイ</t>
    </rPh>
    <rPh sb="21" eb="23">
      <t>バアイ</t>
    </rPh>
    <rPh sb="30" eb="32">
      <t>センイ</t>
    </rPh>
    <phoneticPr fontId="2"/>
  </si>
  <si>
    <t>エラー時(クイアント処理)</t>
    <rPh sb="3" eb="4">
      <t>ジ</t>
    </rPh>
    <phoneticPr fontId="2"/>
  </si>
  <si>
    <t>インフォメーション：ワークフロー内の場合、次画面へ遷移する(それ以外は遷移しない)</t>
    <rPh sb="16" eb="17">
      <t>ナイ</t>
    </rPh>
    <rPh sb="18" eb="20">
      <t>バアイ</t>
    </rPh>
    <rPh sb="21" eb="22">
      <t>ジ</t>
    </rPh>
    <rPh sb="22" eb="24">
      <t>ガメン</t>
    </rPh>
    <rPh sb="25" eb="27">
      <t>センイ</t>
    </rPh>
    <phoneticPr fontId="2"/>
  </si>
  <si>
    <t>ワーニング：ワークフロー内の場合、次画面へ遷移する(それ以外は遷移しない)</t>
    <rPh sb="17" eb="18">
      <t>ジ</t>
    </rPh>
    <rPh sb="18" eb="20">
      <t>ガメン</t>
    </rPh>
    <rPh sb="21" eb="23">
      <t>センイ</t>
    </rPh>
    <rPh sb="28" eb="30">
      <t>イガイ</t>
    </rPh>
    <rPh sb="31" eb="33">
      <t>センイ</t>
    </rPh>
    <phoneticPr fontId="2"/>
  </si>
  <si>
    <t>単項目エラー：遷移しない</t>
    <rPh sb="0" eb="1">
      <t>タン</t>
    </rPh>
    <rPh sb="1" eb="3">
      <t>コウモク</t>
    </rPh>
    <rPh sb="7" eb="9">
      <t>センイ</t>
    </rPh>
    <phoneticPr fontId="2"/>
  </si>
  <si>
    <t>単項目以外のエラー(関連チェックエラー)：遷移しない</t>
    <rPh sb="0" eb="1">
      <t>タン</t>
    </rPh>
    <rPh sb="1" eb="3">
      <t>コウモク</t>
    </rPh>
    <rPh sb="3" eb="5">
      <t>イガイ</t>
    </rPh>
    <rPh sb="10" eb="12">
      <t>カンレン</t>
    </rPh>
    <rPh sb="21" eb="23">
      <t>センイ</t>
    </rPh>
    <phoneticPr fontId="2"/>
  </si>
  <si>
    <t>エラー時(システムエラー)</t>
    <rPh sb="3" eb="4">
      <t>ジ</t>
    </rPh>
    <phoneticPr fontId="2"/>
  </si>
  <si>
    <t>エラー画面へ遷移する
※セッションタイムアウト等のエラーが発生した場合は、コンテンツエリア内にエラー画面を表示する。</t>
    <rPh sb="3" eb="5">
      <t>ガメン</t>
    </rPh>
    <rPh sb="6" eb="8">
      <t>センイ</t>
    </rPh>
    <phoneticPr fontId="2"/>
  </si>
  <si>
    <t>ポップアップ画面</t>
    <rPh sb="6" eb="8">
      <t>ガメン</t>
    </rPh>
    <phoneticPr fontId="2"/>
  </si>
  <si>
    <t xml:space="preserve">標準サイズは縦：350px 横：399px、画面中央部分に表示する。
※
</t>
    <rPh sb="0" eb="2">
      <t>ヒョウジュン</t>
    </rPh>
    <rPh sb="6" eb="7">
      <t>タテ</t>
    </rPh>
    <rPh sb="14" eb="15">
      <t>ヨコ</t>
    </rPh>
    <rPh sb="22" eb="24">
      <t>ガメン</t>
    </rPh>
    <rPh sb="24" eb="26">
      <t>チュウオウ</t>
    </rPh>
    <rPh sb="26" eb="28">
      <t>ブブン</t>
    </rPh>
    <rPh sb="29" eb="31">
      <t>ヒョウジ</t>
    </rPh>
    <phoneticPr fontId="2"/>
  </si>
  <si>
    <t>モーダルウィンドウモーダルウィンドウで表示する。
サブメニューエリアとコンテンツエリアをグレーアウト（オーバーレイ）し、操作不可である事</t>
    <phoneticPr fontId="2"/>
  </si>
  <si>
    <t>入力ポップアップ画面のデフォルトフォーカスは一行目入力テキストとする。</t>
    <rPh sb="0" eb="2">
      <t>ニュウリョク</t>
    </rPh>
    <phoneticPr fontId="2"/>
  </si>
  <si>
    <t>メッセージボックスのデフォルトフォーカスはキャンセルボタンとする。</t>
    <phoneticPr fontId="2"/>
  </si>
  <si>
    <t>キャンセルボタン</t>
    <phoneticPr fontId="2"/>
  </si>
  <si>
    <t>・windowsメッセージポップアップは例外、デフォルトフォーカスは【OK】ボタンとする。</t>
    <rPh sb="20" eb="22">
      <t>レイガイ</t>
    </rPh>
    <phoneticPr fontId="2"/>
  </si>
  <si>
    <t>メッセージ出力</t>
    <rPh sb="5" eb="7">
      <t>シュツリョク</t>
    </rPh>
    <phoneticPr fontId="2"/>
  </si>
  <si>
    <t>クライアント処理
（画面遷移を伴う場合）</t>
    <rPh sb="6" eb="8">
      <t>ショリ</t>
    </rPh>
    <phoneticPr fontId="2"/>
  </si>
  <si>
    <t>インフォメーション：各ボタン押下時にポップアップ画面にてメッセージを表示、次画面へ</t>
    <rPh sb="10" eb="11">
      <t>カク</t>
    </rPh>
    <rPh sb="14" eb="16">
      <t>オウカ</t>
    </rPh>
    <rPh sb="16" eb="17">
      <t>ジ</t>
    </rPh>
    <rPh sb="24" eb="26">
      <t>ガメン</t>
    </rPh>
    <rPh sb="34" eb="36">
      <t>ヒョウジ</t>
    </rPh>
    <phoneticPr fontId="2"/>
  </si>
  <si>
    <t>ワーニング：各ボタン押下時にポップアップ画面にてメッセージを表示、次画面へ</t>
    <rPh sb="6" eb="7">
      <t>カク</t>
    </rPh>
    <rPh sb="10" eb="12">
      <t>オウカ</t>
    </rPh>
    <rPh sb="12" eb="13">
      <t>ジ</t>
    </rPh>
    <rPh sb="20" eb="22">
      <t>ガメン</t>
    </rPh>
    <rPh sb="30" eb="32">
      <t>ヒョウジ</t>
    </rPh>
    <phoneticPr fontId="2"/>
  </si>
  <si>
    <t>単項目エラー：各項目のカーソルアウト時にポップアップ画面にてメッセージを表示、遷移なし</t>
    <rPh sb="0" eb="1">
      <t>タン</t>
    </rPh>
    <rPh sb="1" eb="3">
      <t>コウモク</t>
    </rPh>
    <rPh sb="7" eb="8">
      <t>カク</t>
    </rPh>
    <rPh sb="8" eb="10">
      <t>コウモク</t>
    </rPh>
    <rPh sb="18" eb="19">
      <t>ジ</t>
    </rPh>
    <rPh sb="26" eb="28">
      <t>ガメン</t>
    </rPh>
    <rPh sb="36" eb="38">
      <t>ヒョウジ</t>
    </rPh>
    <phoneticPr fontId="2"/>
  </si>
  <si>
    <t>単項目以外のエラー(関連チェックエラー)：各ボタン押下時にポップアップ画面にてメッセージを表示、遷移なし</t>
    <rPh sb="0" eb="1">
      <t>タン</t>
    </rPh>
    <rPh sb="1" eb="3">
      <t>コウモク</t>
    </rPh>
    <rPh sb="3" eb="5">
      <t>イガイ</t>
    </rPh>
    <rPh sb="10" eb="12">
      <t>カンレン</t>
    </rPh>
    <rPh sb="21" eb="22">
      <t>カク</t>
    </rPh>
    <rPh sb="25" eb="27">
      <t>オウカ</t>
    </rPh>
    <rPh sb="27" eb="28">
      <t>ジ</t>
    </rPh>
    <rPh sb="35" eb="37">
      <t>ガメン</t>
    </rPh>
    <rPh sb="45" eb="47">
      <t>ヒョウジ</t>
    </rPh>
    <phoneticPr fontId="2"/>
  </si>
  <si>
    <t>サーバー処理
（画面遷移を伴う場合）</t>
    <rPh sb="4" eb="6">
      <t>ショリ</t>
    </rPh>
    <phoneticPr fontId="2"/>
  </si>
  <si>
    <t>インフォメーション：各ボタン押下時(ワークフローの場合は次画面遷移後)にメッセージ表示エリアにメッセージを表示、遷移なし</t>
    <rPh sb="10" eb="11">
      <t>カク</t>
    </rPh>
    <rPh sb="14" eb="16">
      <t>オウカ</t>
    </rPh>
    <rPh sb="16" eb="17">
      <t>ジ</t>
    </rPh>
    <rPh sb="25" eb="27">
      <t>バアイ</t>
    </rPh>
    <rPh sb="28" eb="29">
      <t>ジ</t>
    </rPh>
    <rPh sb="29" eb="31">
      <t>ガメン</t>
    </rPh>
    <rPh sb="31" eb="33">
      <t>センイ</t>
    </rPh>
    <rPh sb="33" eb="34">
      <t>ゴ</t>
    </rPh>
    <rPh sb="41" eb="43">
      <t>ヒョウジ</t>
    </rPh>
    <rPh sb="53" eb="55">
      <t>ヒョウジ</t>
    </rPh>
    <phoneticPr fontId="2"/>
  </si>
  <si>
    <t>ワーニング：各ボタン押下時(ワークフローの場合は次画面遷移後)に次画面のメッセージ表示エリアにメッセージを表示、遷移なし</t>
    <rPh sb="6" eb="7">
      <t>カク</t>
    </rPh>
    <rPh sb="10" eb="13">
      <t>オウカジ</t>
    </rPh>
    <rPh sb="21" eb="23">
      <t>バアイ</t>
    </rPh>
    <rPh sb="24" eb="27">
      <t>ジガメン</t>
    </rPh>
    <rPh sb="27" eb="29">
      <t>センイ</t>
    </rPh>
    <rPh sb="29" eb="30">
      <t>ゴ</t>
    </rPh>
    <rPh sb="32" eb="35">
      <t>ジガメン</t>
    </rPh>
    <rPh sb="41" eb="43">
      <t>ヒョウジ</t>
    </rPh>
    <rPh sb="53" eb="55">
      <t>ヒョウジ</t>
    </rPh>
    <phoneticPr fontId="2"/>
  </si>
  <si>
    <t>単項目エラー：各ボタン押下時(サーバー処理終了後)に自画面のメッセージ表示エリアにメッセージを表示、遷移なし</t>
    <rPh sb="0" eb="1">
      <t>タン</t>
    </rPh>
    <rPh sb="1" eb="3">
      <t>コウモク</t>
    </rPh>
    <rPh sb="7" eb="8">
      <t>カク</t>
    </rPh>
    <rPh sb="11" eb="14">
      <t>オウカジ</t>
    </rPh>
    <rPh sb="19" eb="21">
      <t>ショリ</t>
    </rPh>
    <rPh sb="21" eb="24">
      <t>シュウリョウゴ</t>
    </rPh>
    <rPh sb="26" eb="27">
      <t>ジ</t>
    </rPh>
    <rPh sb="27" eb="29">
      <t>ガメン</t>
    </rPh>
    <rPh sb="35" eb="37">
      <t>ヒョウジ</t>
    </rPh>
    <rPh sb="47" eb="49">
      <t>ヒョウジ</t>
    </rPh>
    <phoneticPr fontId="2"/>
  </si>
  <si>
    <t>単項目以外のエラー(関連チェックエラー)：各ボタン押下時(サーバー処理終了後)に自画面のメッセージ表示エリアにメッセージを表示、遷移なし</t>
    <rPh sb="0" eb="1">
      <t>タン</t>
    </rPh>
    <rPh sb="1" eb="3">
      <t>コウモク</t>
    </rPh>
    <rPh sb="3" eb="5">
      <t>イガイ</t>
    </rPh>
    <rPh sb="10" eb="12">
      <t>カンレン</t>
    </rPh>
    <rPh sb="21" eb="22">
      <t>カク</t>
    </rPh>
    <rPh sb="25" eb="28">
      <t>オウカジ</t>
    </rPh>
    <rPh sb="33" eb="35">
      <t>ショリ</t>
    </rPh>
    <rPh sb="35" eb="38">
      <t>シュウリョウゴ</t>
    </rPh>
    <rPh sb="40" eb="41">
      <t>ジ</t>
    </rPh>
    <rPh sb="41" eb="43">
      <t>ガメン</t>
    </rPh>
    <rPh sb="49" eb="51">
      <t>ヒョウジ</t>
    </rPh>
    <rPh sb="61" eb="63">
      <t>ヒョウジ</t>
    </rPh>
    <phoneticPr fontId="2"/>
  </si>
  <si>
    <t>クライアント処理
（画面遷移を伴わない場合）</t>
    <rPh sb="6" eb="8">
      <t>ショリ</t>
    </rPh>
    <phoneticPr fontId="2"/>
  </si>
  <si>
    <t>インフォメーション：各ボタン押下時にポップアップ画面にてメッセージを表示</t>
    <rPh sb="10" eb="11">
      <t>カク</t>
    </rPh>
    <rPh sb="14" eb="16">
      <t>オウカ</t>
    </rPh>
    <rPh sb="16" eb="17">
      <t>ジ</t>
    </rPh>
    <rPh sb="24" eb="26">
      <t>ガメン</t>
    </rPh>
    <rPh sb="34" eb="36">
      <t>ヒョウジ</t>
    </rPh>
    <phoneticPr fontId="2"/>
  </si>
  <si>
    <t>ワーニング：各ボタン押下時にポップアップ画面にてメッセージを表示</t>
    <rPh sb="6" eb="7">
      <t>カク</t>
    </rPh>
    <rPh sb="10" eb="12">
      <t>オウカ</t>
    </rPh>
    <rPh sb="12" eb="13">
      <t>ジ</t>
    </rPh>
    <rPh sb="20" eb="22">
      <t>ガメン</t>
    </rPh>
    <rPh sb="30" eb="32">
      <t>ヒョウジ</t>
    </rPh>
    <phoneticPr fontId="2"/>
  </si>
  <si>
    <t>単項目エラー：各項目のカーソルアウト時にポップアップ画面にてメッセージを表示</t>
    <rPh sb="0" eb="1">
      <t>タン</t>
    </rPh>
    <rPh sb="1" eb="3">
      <t>コウモク</t>
    </rPh>
    <rPh sb="7" eb="8">
      <t>カク</t>
    </rPh>
    <rPh sb="8" eb="10">
      <t>コウモク</t>
    </rPh>
    <rPh sb="18" eb="19">
      <t>ジ</t>
    </rPh>
    <rPh sb="26" eb="28">
      <t>ガメン</t>
    </rPh>
    <rPh sb="36" eb="38">
      <t>ヒョウジ</t>
    </rPh>
    <phoneticPr fontId="2"/>
  </si>
  <si>
    <t>単項目以外のエラー(関連チェックエラー)：各ボタン押下時にポップアップ画面にてメッセージを表示</t>
    <rPh sb="0" eb="1">
      <t>タン</t>
    </rPh>
    <rPh sb="1" eb="3">
      <t>コウモク</t>
    </rPh>
    <rPh sb="3" eb="5">
      <t>イガイ</t>
    </rPh>
    <rPh sb="10" eb="12">
      <t>カンレン</t>
    </rPh>
    <rPh sb="21" eb="22">
      <t>カク</t>
    </rPh>
    <rPh sb="25" eb="27">
      <t>オウカ</t>
    </rPh>
    <rPh sb="27" eb="28">
      <t>ジ</t>
    </rPh>
    <rPh sb="35" eb="37">
      <t>ガメン</t>
    </rPh>
    <rPh sb="45" eb="47">
      <t>ヒョウジ</t>
    </rPh>
    <phoneticPr fontId="2"/>
  </si>
  <si>
    <t>サーバー処理
（画面遷移を伴わない場合）</t>
    <rPh sb="4" eb="6">
      <t>ショリ</t>
    </rPh>
    <phoneticPr fontId="2"/>
  </si>
  <si>
    <t>インフォメーション：各ボタン押下時(ワークフローの場合は次画面遷移後)にメッセージ表示エリアにメッセージを表示</t>
    <rPh sb="10" eb="11">
      <t>カク</t>
    </rPh>
    <rPh sb="14" eb="16">
      <t>オウカ</t>
    </rPh>
    <rPh sb="16" eb="17">
      <t>ジ</t>
    </rPh>
    <rPh sb="25" eb="27">
      <t>バアイ</t>
    </rPh>
    <rPh sb="28" eb="29">
      <t>ジ</t>
    </rPh>
    <rPh sb="29" eb="31">
      <t>ガメン</t>
    </rPh>
    <rPh sb="31" eb="33">
      <t>センイ</t>
    </rPh>
    <rPh sb="33" eb="34">
      <t>ゴ</t>
    </rPh>
    <rPh sb="41" eb="43">
      <t>ヒョウジ</t>
    </rPh>
    <rPh sb="53" eb="55">
      <t>ヒョウジ</t>
    </rPh>
    <phoneticPr fontId="2"/>
  </si>
  <si>
    <t>ワーニング：各ボタン押下時(ワークフローの場合は次画面遷移後)に次画面のメッセージ表示エリアにメッセージを表示</t>
    <rPh sb="6" eb="7">
      <t>カク</t>
    </rPh>
    <rPh sb="10" eb="13">
      <t>オウカジ</t>
    </rPh>
    <rPh sb="21" eb="23">
      <t>バアイ</t>
    </rPh>
    <rPh sb="24" eb="27">
      <t>ジガメン</t>
    </rPh>
    <rPh sb="27" eb="29">
      <t>センイ</t>
    </rPh>
    <rPh sb="29" eb="30">
      <t>ゴ</t>
    </rPh>
    <rPh sb="32" eb="35">
      <t>ジガメン</t>
    </rPh>
    <rPh sb="41" eb="43">
      <t>ヒョウジ</t>
    </rPh>
    <rPh sb="53" eb="55">
      <t>ヒョウジ</t>
    </rPh>
    <phoneticPr fontId="2"/>
  </si>
  <si>
    <t>単項目エラー：各ボタン押下時(サーバー処理終了後)に自画面のメッセージ表示エリアにメッセージを表示</t>
    <rPh sb="0" eb="1">
      <t>タン</t>
    </rPh>
    <rPh sb="1" eb="3">
      <t>コウモク</t>
    </rPh>
    <rPh sb="7" eb="8">
      <t>カク</t>
    </rPh>
    <rPh sb="11" eb="14">
      <t>オウカジ</t>
    </rPh>
    <rPh sb="19" eb="21">
      <t>ショリ</t>
    </rPh>
    <rPh sb="21" eb="24">
      <t>シュウリョウゴ</t>
    </rPh>
    <rPh sb="26" eb="27">
      <t>ジ</t>
    </rPh>
    <rPh sb="27" eb="29">
      <t>ガメン</t>
    </rPh>
    <rPh sb="35" eb="37">
      <t>ヒョウジ</t>
    </rPh>
    <rPh sb="47" eb="49">
      <t>ヒョウジ</t>
    </rPh>
    <phoneticPr fontId="2"/>
  </si>
  <si>
    <t>単項目以外のエラー(関連チェックエラー)：各ボタン押下時(サーバー処理終了後)に自画面のメッセージ表示エリアにメッセージを表示</t>
    <rPh sb="0" eb="1">
      <t>タン</t>
    </rPh>
    <rPh sb="1" eb="3">
      <t>コウモク</t>
    </rPh>
    <rPh sb="3" eb="5">
      <t>イガイ</t>
    </rPh>
    <rPh sb="10" eb="12">
      <t>カンレン</t>
    </rPh>
    <rPh sb="21" eb="22">
      <t>カク</t>
    </rPh>
    <rPh sb="25" eb="28">
      <t>オウカジ</t>
    </rPh>
    <rPh sb="33" eb="35">
      <t>ショリ</t>
    </rPh>
    <rPh sb="35" eb="38">
      <t>シュウリョウゴ</t>
    </rPh>
    <rPh sb="40" eb="41">
      <t>ジ</t>
    </rPh>
    <rPh sb="41" eb="43">
      <t>ガメン</t>
    </rPh>
    <rPh sb="49" eb="51">
      <t>ヒョウジ</t>
    </rPh>
    <rPh sb="61" eb="63">
      <t>ヒョウジ</t>
    </rPh>
    <phoneticPr fontId="2"/>
  </si>
  <si>
    <t>単体テスト
チェックリスト</t>
    <rPh sb="0" eb="2">
      <t>タンタイ</t>
    </rPh>
    <phoneticPr fontId="2"/>
  </si>
  <si>
    <t>システム名</t>
    <rPh sb="4" eb="5">
      <t>メイ</t>
    </rPh>
    <phoneticPr fontId="2"/>
  </si>
  <si>
    <t>サブシステム名</t>
    <rPh sb="6" eb="7">
      <t>メイ</t>
    </rPh>
    <phoneticPr fontId="2"/>
  </si>
  <si>
    <t>プログラム名</t>
    <rPh sb="5" eb="6">
      <t>メイ</t>
    </rPh>
    <phoneticPr fontId="2"/>
  </si>
  <si>
    <t>承認</t>
    <rPh sb="0" eb="2">
      <t>ショウニン</t>
    </rPh>
    <phoneticPr fontId="2"/>
  </si>
  <si>
    <t>085.HigashiNihon</t>
    <phoneticPr fontId="2"/>
  </si>
  <si>
    <t>格付取得</t>
    <phoneticPr fontId="2"/>
  </si>
  <si>
    <t>格付取得画面.doc
要格付取得先リスト画面.doc
査定結果画面.doc
債務者区分判定画面.doc
要査定先リスト画面.doc
GetGrade.aspx.cs
UngradedList.aspx.cs
CustomerType.aspx.cs
SelfAssessmentWorkFlow.cs
UnAssessList.aspx.cs
sp_hn_customer_loanflg_sel01</t>
    <phoneticPr fontId="2"/>
  </si>
  <si>
    <t>2012/7/11
M&amp;S 王森源</t>
    <rPh sb="14" eb="15">
      <t>オウ</t>
    </rPh>
    <rPh sb="15" eb="16">
      <t>モリ</t>
    </rPh>
    <rPh sb="16" eb="17">
      <t>ゲン</t>
    </rPh>
    <phoneticPr fontId="2"/>
  </si>
  <si>
    <t xml:space="preserve">                                チ ェ ッ ク Ｉ Ｄ
　チェック条件／確認内容</t>
    <rPh sb="50" eb="52">
      <t>ジョウケン</t>
    </rPh>
    <rPh sb="53" eb="55">
      <t>カクニン</t>
    </rPh>
    <rPh sb="55" eb="57">
      <t>ナイヨウ</t>
    </rPh>
    <phoneticPr fontId="2"/>
  </si>
  <si>
    <t>0001</t>
    <phoneticPr fontId="2"/>
  </si>
  <si>
    <t>0002</t>
  </si>
  <si>
    <t>0003</t>
  </si>
  <si>
    <t>0004</t>
  </si>
  <si>
    <t>0005</t>
  </si>
  <si>
    <t>0006</t>
  </si>
  <si>
    <t>0007</t>
  </si>
  <si>
    <t>0008</t>
  </si>
  <si>
    <t>0009</t>
  </si>
  <si>
    <t>0010</t>
  </si>
  <si>
    <t>チェック条件</t>
    <rPh sb="4" eb="6">
      <t>ジョウケン</t>
    </rPh>
    <phoneticPr fontId="2"/>
  </si>
  <si>
    <t>テーブルPCM_customerのCMcus_LoanFlg  = 1(個人)</t>
    <rPh sb="36" eb="38">
      <t>コジン</t>
    </rPh>
    <phoneticPr fontId="2"/>
  </si>
  <si>
    <t>テーブルPCM_customerのCMcus_LoanFlg  = 0(企業)</t>
    <rPh sb="36" eb="37">
      <t>キ</t>
    </rPh>
    <phoneticPr fontId="2"/>
  </si>
  <si>
    <t>　　　　　　</t>
    <phoneticPr fontId="2"/>
  </si>
  <si>
    <t>確認内容</t>
    <rPh sb="0" eb="2">
      <t>カクニン</t>
    </rPh>
    <rPh sb="2" eb="4">
      <t>ナイヨウ</t>
    </rPh>
    <phoneticPr fontId="2"/>
  </si>
  <si>
    <t>０００1．親顧客の信用格付が子顧客より信用格付が低くで格付最終承認する時、子顧客が格付イベント計上する</t>
    <rPh sb="5" eb="6">
      <t>オヤ</t>
    </rPh>
    <rPh sb="6" eb="8">
      <t>コキャク</t>
    </rPh>
    <rPh sb="9" eb="11">
      <t>シンヨウ</t>
    </rPh>
    <rPh sb="11" eb="12">
      <t>カク</t>
    </rPh>
    <rPh sb="12" eb="13">
      <t>ツ</t>
    </rPh>
    <rPh sb="14" eb="15">
      <t>コ</t>
    </rPh>
    <rPh sb="15" eb="17">
      <t>コキャク</t>
    </rPh>
    <rPh sb="19" eb="21">
      <t>シンヨウ</t>
    </rPh>
    <rPh sb="21" eb="22">
      <t>カク</t>
    </rPh>
    <rPh sb="22" eb="23">
      <t>ツ</t>
    </rPh>
    <rPh sb="24" eb="25">
      <t>ヒク</t>
    </rPh>
    <rPh sb="29" eb="31">
      <t>サイシュウ</t>
    </rPh>
    <rPh sb="31" eb="33">
      <t>ショウニン</t>
    </rPh>
    <rPh sb="35" eb="36">
      <t>トキ</t>
    </rPh>
    <rPh sb="37" eb="38">
      <t>コ</t>
    </rPh>
    <rPh sb="38" eb="40">
      <t>コキャク</t>
    </rPh>
    <rPh sb="41" eb="42">
      <t>カク</t>
    </rPh>
    <rPh sb="42" eb="43">
      <t>ツ</t>
    </rPh>
    <rPh sb="47" eb="49">
      <t>ケイジョウ</t>
    </rPh>
    <phoneticPr fontId="2"/>
  </si>
  <si>
    <t>０００2．親顧客の信用格付が子顧客より信用格付が低くで格付最終承認する時、子顧客が格付イベント計上しない</t>
    <phoneticPr fontId="2"/>
  </si>
  <si>
    <t>０００3．親顧客の信用格付が子顧客より信用格付が低くで対象外する時、子顧客が格付イベント計上する</t>
    <rPh sb="27" eb="30">
      <t>タイショウガイ</t>
    </rPh>
    <phoneticPr fontId="2"/>
  </si>
  <si>
    <t>０００4．親顧客の信用格付が子顧客より信用格付が低くで対象外する時、子顧客が格付イベント計上しない</t>
    <phoneticPr fontId="2"/>
  </si>
  <si>
    <t>０００5．自己査定の債務者区分画面、ボタン「登録」を押す、顧客が格付イベント計上する</t>
    <phoneticPr fontId="2"/>
  </si>
  <si>
    <t>０００6．自己査定の債務者区分画面、ボタン「登録」を押す、顧客が格付イベント計上しない</t>
    <phoneticPr fontId="2"/>
  </si>
  <si>
    <t>０００7．自己査定の査定結果画面、ボタン「承認」を押す、顧客が格付イベント計上する</t>
    <phoneticPr fontId="2"/>
  </si>
  <si>
    <t>０００8．自己査定の査定結果画面、ボタン「承認」を押す、顧客が格付イベント計上しない</t>
    <phoneticPr fontId="2"/>
  </si>
  <si>
    <t>０００9．要査定先リスト画面、ボタン「承認」を押す、顧客が格付イベント計上する</t>
    <phoneticPr fontId="2"/>
  </si>
  <si>
    <t>００10．要査定先リスト画面、ボタン「承認」を押す、顧客が格付イベント計上しない</t>
    <phoneticPr fontId="2"/>
  </si>
  <si>
    <t>確
認
日</t>
    <rPh sb="0" eb="1">
      <t>アキラ</t>
    </rPh>
    <rPh sb="2" eb="3">
      <t>ニン</t>
    </rPh>
    <rPh sb="4" eb="5">
      <t>ビ</t>
    </rPh>
    <phoneticPr fontId="2"/>
  </si>
  <si>
    <t>机  　上</t>
    <rPh sb="0" eb="1">
      <t>ツクエ</t>
    </rPh>
    <rPh sb="4" eb="5">
      <t>ウエ</t>
    </rPh>
    <phoneticPr fontId="2"/>
  </si>
  <si>
    <t>マ シ ン</t>
    <phoneticPr fontId="2"/>
  </si>
  <si>
    <t>ＰＣＬ区分(N:正常,E:異常,L:境界,I：ｲﾝﾀﾌｪｰｽ）</t>
    <phoneticPr fontId="2"/>
  </si>
  <si>
    <t>本ファイルを保存するとき、フォントの種類はMSPゴシック、サイズは9、ファイルは100％のズームで保存すること。</t>
    <phoneticPr fontId="2"/>
  </si>
  <si>
    <t xml:space="preserve">・開発規約の確認（VSS： $/Document/001.Package/A.開発管理）
</t>
    <rPh sb="1" eb="3">
      <t>カイハツ</t>
    </rPh>
    <rPh sb="3" eb="5">
      <t>キヤク</t>
    </rPh>
    <rPh sb="6" eb="8">
      <t>カクニン</t>
    </rPh>
    <phoneticPr fontId="5"/>
  </si>
  <si>
    <t>修正前後</t>
    <rPh sb="0" eb="2">
      <t>シュウセイ</t>
    </rPh>
    <rPh sb="2" eb="4">
      <t>ゼンゴ</t>
    </rPh>
    <phoneticPr fontId="9"/>
  </si>
  <si>
    <t xml:space="preserve">・障害案件(B票)や設定変更対応案件のテスト結果作成時、修正前後をエビデンスとして作成する。
</t>
    <rPh sb="1" eb="3">
      <t>ショウガイ</t>
    </rPh>
    <rPh sb="3" eb="4">
      <t>アン</t>
    </rPh>
    <rPh sb="4" eb="5">
      <t>ケン</t>
    </rPh>
    <rPh sb="7" eb="8">
      <t>ヒョウ</t>
    </rPh>
    <rPh sb="10" eb="12">
      <t>セッテイ</t>
    </rPh>
    <rPh sb="12" eb="14">
      <t>ヘンコウ</t>
    </rPh>
    <rPh sb="14" eb="16">
      <t>タイオウ</t>
    </rPh>
    <rPh sb="16" eb="17">
      <t>アン</t>
    </rPh>
    <rPh sb="17" eb="18">
      <t>ケン</t>
    </rPh>
    <rPh sb="22" eb="24">
      <t>ケッカ</t>
    </rPh>
    <rPh sb="24" eb="26">
      <t>サクセイ</t>
    </rPh>
    <rPh sb="26" eb="27">
      <t>ジ</t>
    </rPh>
    <rPh sb="28" eb="30">
      <t>シュウセイ</t>
    </rPh>
    <rPh sb="30" eb="32">
      <t>ゼンゴ</t>
    </rPh>
    <rPh sb="41" eb="43">
      <t>サクセイ</t>
    </rPh>
    <phoneticPr fontId="5"/>
  </si>
  <si>
    <t>Y</t>
    <phoneticPr fontId="3"/>
  </si>
  <si>
    <t>テスト結果</t>
    <rPh sb="3" eb="5">
      <t>ケッカ</t>
    </rPh>
    <phoneticPr fontId="9"/>
  </si>
  <si>
    <t xml:space="preserve">・テスト結果の作成方法の確認　（「UT結果チェックリスト」、「UT結果参考」を参照）
</t>
    <rPh sb="4" eb="6">
      <t>ケッカ</t>
    </rPh>
    <rPh sb="7" eb="9">
      <t>サクセイ</t>
    </rPh>
    <rPh sb="9" eb="11">
      <t>ホウホウ</t>
    </rPh>
    <rPh sb="12" eb="14">
      <t>カクニン</t>
    </rPh>
    <rPh sb="35" eb="37">
      <t>サンコウ</t>
    </rPh>
    <rPh sb="39" eb="41">
      <t>サンショウ</t>
    </rPh>
    <phoneticPr fontId="5"/>
  </si>
  <si>
    <t>N</t>
    <phoneticPr fontId="3"/>
  </si>
  <si>
    <t xml:space="preserve">・テスト環境に沿うようにソース・設定ファイルを修正しないこと。(ファイルパスなど)
</t>
    <rPh sb="4" eb="6">
      <t>カンキョウ</t>
    </rPh>
    <rPh sb="7" eb="8">
      <t>ソ</t>
    </rPh>
    <rPh sb="16" eb="18">
      <t>セッテイ</t>
    </rPh>
    <rPh sb="23" eb="25">
      <t>シュウセイ</t>
    </rPh>
    <phoneticPr fontId="9"/>
  </si>
  <si>
    <t>そのままうっかりチェックインすると本番環境と相違してしまう</t>
    <rPh sb="17" eb="19">
      <t>ホンバン</t>
    </rPh>
    <rPh sb="19" eb="21">
      <t>カンキョウ</t>
    </rPh>
    <rPh sb="22" eb="24">
      <t>ソウイ</t>
    </rPh>
    <phoneticPr fontId="9"/>
  </si>
  <si>
    <t>テスト結果</t>
    <rPh sb="3" eb="5">
      <t>ケッカ</t>
    </rPh>
    <phoneticPr fontId="2"/>
  </si>
  <si>
    <t>テストデータ</t>
  </si>
  <si>
    <t xml:space="preserve">・テスト仕様を確認できるテストデータとなっていることを確認する。
※抽出条件にあったものが抽出されていることを確認するためには、抽出対象外のデータも必要。
　 MAX値を抽出する場合、MAX値以外のデータも必要。
</t>
    <rPh sb="4" eb="6">
      <t>シヨウ</t>
    </rPh>
    <rPh sb="7" eb="9">
      <t>カクニン</t>
    </rPh>
    <rPh sb="27" eb="29">
      <t>カクニン</t>
    </rPh>
    <rPh sb="34" eb="36">
      <t>チュウシュツ</t>
    </rPh>
    <rPh sb="36" eb="38">
      <t>ジョウケン</t>
    </rPh>
    <rPh sb="45" eb="47">
      <t>チュウシュツ</t>
    </rPh>
    <rPh sb="55" eb="57">
      <t>カクニン</t>
    </rPh>
    <rPh sb="64" eb="66">
      <t>チュウシュツ</t>
    </rPh>
    <rPh sb="66" eb="68">
      <t>タイショウ</t>
    </rPh>
    <rPh sb="68" eb="69">
      <t>ガイ</t>
    </rPh>
    <rPh sb="74" eb="76">
      <t>ヒツヨウ</t>
    </rPh>
    <rPh sb="83" eb="84">
      <t>チ</t>
    </rPh>
    <rPh sb="85" eb="87">
      <t>チュウシュツ</t>
    </rPh>
    <rPh sb="89" eb="91">
      <t>バアイ</t>
    </rPh>
    <rPh sb="95" eb="96">
      <t>チ</t>
    </rPh>
    <rPh sb="96" eb="98">
      <t>イガイ</t>
    </rPh>
    <rPh sb="103" eb="105">
      <t>ヒツヨウ</t>
    </rPh>
    <phoneticPr fontId="5"/>
  </si>
  <si>
    <t>2-2</t>
    <phoneticPr fontId="9"/>
  </si>
  <si>
    <t xml:space="preserve">・テストデータは同じ値のデータを用意するのではなく、値を変えた複数のデータが準備されていることを確認する
※抽出確認時等に同様の値のデータだけだった場合、意図しているデータが抽出されているか確認できないためデータパターンを複数用意する。
・CSVファイル出力時のテストデータは、全項目の値をユニーク、フル桁を準備した上で確認する。
</t>
    <rPh sb="8" eb="9">
      <t>オナ</t>
    </rPh>
    <rPh sb="10" eb="11">
      <t>アタイ</t>
    </rPh>
    <rPh sb="16" eb="18">
      <t>ヨウイ</t>
    </rPh>
    <rPh sb="26" eb="27">
      <t>アタイ</t>
    </rPh>
    <rPh sb="28" eb="29">
      <t>カ</t>
    </rPh>
    <rPh sb="31" eb="33">
      <t>フクスウ</t>
    </rPh>
    <rPh sb="38" eb="40">
      <t>ジュンビ</t>
    </rPh>
    <rPh sb="48" eb="50">
      <t>カクニン</t>
    </rPh>
    <rPh sb="54" eb="56">
      <t>チュウシュツ</t>
    </rPh>
    <rPh sb="56" eb="58">
      <t>カクニン</t>
    </rPh>
    <rPh sb="58" eb="59">
      <t>ジ</t>
    </rPh>
    <rPh sb="59" eb="60">
      <t>トウ</t>
    </rPh>
    <rPh sb="61" eb="63">
      <t>ドウヨウ</t>
    </rPh>
    <rPh sb="64" eb="65">
      <t>アタイ</t>
    </rPh>
    <rPh sb="74" eb="76">
      <t>バアイ</t>
    </rPh>
    <rPh sb="77" eb="79">
      <t>イト</t>
    </rPh>
    <rPh sb="87" eb="89">
      <t>チュウシュツ</t>
    </rPh>
    <rPh sb="95" eb="97">
      <t>カクニン</t>
    </rPh>
    <rPh sb="111" eb="113">
      <t>フクスウ</t>
    </rPh>
    <rPh sb="113" eb="115">
      <t>ヨウイ</t>
    </rPh>
    <phoneticPr fontId="5"/>
  </si>
  <si>
    <t>CSVファイル出力時、「見出行」と「出力値」が一致しているかの確認が漏れる。詳細は、RT-RT-46032を参照</t>
    <rPh sb="9" eb="10">
      <t>ジ</t>
    </rPh>
    <rPh sb="12" eb="14">
      <t>ミダ</t>
    </rPh>
    <rPh sb="14" eb="15">
      <t>ギョウ</t>
    </rPh>
    <rPh sb="18" eb="20">
      <t>シュツリョク</t>
    </rPh>
    <rPh sb="20" eb="21">
      <t>チ</t>
    </rPh>
    <rPh sb="23" eb="25">
      <t>イッチ</t>
    </rPh>
    <rPh sb="31" eb="33">
      <t>カクニン</t>
    </rPh>
    <rPh sb="34" eb="35">
      <t>モ</t>
    </rPh>
    <rPh sb="38" eb="40">
      <t>ショウサイ</t>
    </rPh>
    <rPh sb="54" eb="56">
      <t>サンショウ</t>
    </rPh>
    <phoneticPr fontId="9"/>
  </si>
  <si>
    <t>・参照テーブルの主キーフルパターンのテストデータを用いてテストしていることを確認する</t>
    <rPh sb="1" eb="3">
      <t>サンショウ</t>
    </rPh>
    <rPh sb="8" eb="9">
      <t>シュ</t>
    </rPh>
    <rPh sb="25" eb="26">
      <t>モチ</t>
    </rPh>
    <rPh sb="38" eb="40">
      <t>カクニン</t>
    </rPh>
    <phoneticPr fontId="5"/>
  </si>
  <si>
    <t>テスト結果</t>
    <rPh sb="3" eb="5">
      <t>ケッカ</t>
    </rPh>
    <phoneticPr fontId="5"/>
  </si>
  <si>
    <t xml:space="preserve">・テスト仕様に沿い実施されていることを確認
※RSHEET、PDF帳票について、フル桁入力を行い、印刷して確認する事。
　 RSHEETについて初期カーソル位置が左上になっていること確認する事。
</t>
    <rPh sb="4" eb="6">
      <t>シヨウ</t>
    </rPh>
    <rPh sb="7" eb="8">
      <t>ソ</t>
    </rPh>
    <rPh sb="9" eb="11">
      <t>ジッシ</t>
    </rPh>
    <rPh sb="19" eb="21">
      <t>カクニン</t>
    </rPh>
    <rPh sb="33" eb="35">
      <t>チョウヒョウ</t>
    </rPh>
    <rPh sb="42" eb="43">
      <t>ケタ</t>
    </rPh>
    <rPh sb="43" eb="45">
      <t>ニュウリョク</t>
    </rPh>
    <rPh sb="46" eb="47">
      <t>オコナ</t>
    </rPh>
    <rPh sb="49" eb="51">
      <t>インサツ</t>
    </rPh>
    <rPh sb="53" eb="55">
      <t>カクニン</t>
    </rPh>
    <rPh sb="57" eb="58">
      <t>コト</t>
    </rPh>
    <rPh sb="72" eb="74">
      <t>ショキ</t>
    </rPh>
    <rPh sb="78" eb="80">
      <t>イチ</t>
    </rPh>
    <rPh sb="81" eb="82">
      <t>ヒダリ</t>
    </rPh>
    <rPh sb="82" eb="83">
      <t>ウエ</t>
    </rPh>
    <rPh sb="91" eb="93">
      <t>カクニン</t>
    </rPh>
    <rPh sb="95" eb="96">
      <t>コト</t>
    </rPh>
    <phoneticPr fontId="5"/>
  </si>
  <si>
    <t xml:space="preserve">・テスト結果を確認するうえで前提条件の画面HC、DBダンプのエビデンスを取得する。
※日付、ユーザレベル、稟議のステータス等
</t>
    <rPh sb="4" eb="6">
      <t>ケッカ</t>
    </rPh>
    <rPh sb="7" eb="9">
      <t>カクニン</t>
    </rPh>
    <rPh sb="14" eb="16">
      <t>ゼンテイ</t>
    </rPh>
    <rPh sb="16" eb="18">
      <t>ジョウケン</t>
    </rPh>
    <rPh sb="19" eb="21">
      <t>ガメン</t>
    </rPh>
    <rPh sb="36" eb="38">
      <t>シュトク</t>
    </rPh>
    <rPh sb="43" eb="44">
      <t>ヒ</t>
    </rPh>
    <rPh sb="44" eb="45">
      <t>ヅケ</t>
    </rPh>
    <rPh sb="53" eb="55">
      <t>リンギ</t>
    </rPh>
    <rPh sb="61" eb="62">
      <t>トウ</t>
    </rPh>
    <phoneticPr fontId="5"/>
  </si>
  <si>
    <t>2-6</t>
    <phoneticPr fontId="9"/>
  </si>
  <si>
    <t>・RSHEET（テンプレート）の修正時、修正前後のテンプレート比較結果をエビデンスとして取得していることを確認
　比較検証ツール（VSS：$/Document/001.Package/D.Tool/hikakucel.xls）
※比較確認を行う場合は、「修正前→修正後」、「修正後→修正前」のどちらの結果もエビデンス取得し、確認を行なう事。
※差分が出た項目(黄色セル)に対して、差分理由を噴出しでコメント記載する事。</t>
    <rPh sb="16" eb="18">
      <t>シュウセイ</t>
    </rPh>
    <rPh sb="44" eb="46">
      <t>シュトク</t>
    </rPh>
    <rPh sb="53" eb="55">
      <t>カクニン</t>
    </rPh>
    <rPh sb="115" eb="117">
      <t>ヒカク</t>
    </rPh>
    <rPh sb="117" eb="119">
      <t>カクニン</t>
    </rPh>
    <rPh sb="120" eb="121">
      <t>オコナ</t>
    </rPh>
    <rPh sb="122" eb="124">
      <t>バアイ</t>
    </rPh>
    <rPh sb="127" eb="129">
      <t>シュウセイ</t>
    </rPh>
    <rPh sb="129" eb="130">
      <t>マエ</t>
    </rPh>
    <rPh sb="131" eb="133">
      <t>シュウセイ</t>
    </rPh>
    <rPh sb="133" eb="134">
      <t>ゴ</t>
    </rPh>
    <rPh sb="137" eb="139">
      <t>シュウセイ</t>
    </rPh>
    <rPh sb="139" eb="140">
      <t>ゴ</t>
    </rPh>
    <rPh sb="141" eb="143">
      <t>シュウセイ</t>
    </rPh>
    <rPh sb="143" eb="144">
      <t>マエ</t>
    </rPh>
    <rPh sb="150" eb="152">
      <t>ケッカ</t>
    </rPh>
    <rPh sb="158" eb="160">
      <t>シュトク</t>
    </rPh>
    <rPh sb="162" eb="164">
      <t>カクニン</t>
    </rPh>
    <rPh sb="165" eb="166">
      <t>オコ</t>
    </rPh>
    <rPh sb="168" eb="169">
      <t>コト</t>
    </rPh>
    <phoneticPr fontId="5"/>
  </si>
  <si>
    <t>未表示項目の確認が漏れる可能性ある。詳細はRT-RT-40667を参照</t>
    <rPh sb="0" eb="1">
      <t>ミ</t>
    </rPh>
    <rPh sb="1" eb="3">
      <t>ヒョウジ</t>
    </rPh>
    <rPh sb="3" eb="5">
      <t>コウモク</t>
    </rPh>
    <rPh sb="6" eb="8">
      <t>カクニン</t>
    </rPh>
    <rPh sb="9" eb="10">
      <t>モ</t>
    </rPh>
    <rPh sb="12" eb="15">
      <t>カノウセイ</t>
    </rPh>
    <rPh sb="18" eb="20">
      <t>ショウサイ</t>
    </rPh>
    <rPh sb="33" eb="35">
      <t>サンショウ</t>
    </rPh>
    <phoneticPr fontId="9"/>
  </si>
  <si>
    <t>コンパイル</t>
  </si>
  <si>
    <t xml:space="preserve">・コンパイル後、エラーがないことを確認
</t>
    <rPh sb="6" eb="7">
      <t>ゴ</t>
    </rPh>
    <rPh sb="17" eb="19">
      <t>カクニン</t>
    </rPh>
    <phoneticPr fontId="5"/>
  </si>
  <si>
    <t>ソースコードレビュー</t>
  </si>
  <si>
    <t xml:space="preserve">・ソースコードが開発規約にあっていることを確認
</t>
    <phoneticPr fontId="9"/>
  </si>
  <si>
    <t>ログ</t>
  </si>
  <si>
    <t xml:space="preserve">・エラーログが出力されていないことを確認
</t>
    <rPh sb="7" eb="9">
      <t>シュツリョク</t>
    </rPh>
    <rPh sb="18" eb="20">
      <t>カクニン</t>
    </rPh>
    <phoneticPr fontId="5"/>
  </si>
  <si>
    <t>新旧比較</t>
    <rPh sb="0" eb="2">
      <t>シンキュウ</t>
    </rPh>
    <rPh sb="2" eb="4">
      <t>ヒカク</t>
    </rPh>
    <phoneticPr fontId="5"/>
  </si>
  <si>
    <t>・プログラム修正前後で出力された画面・帳票・CSVファイルの内容を突合し、不正な差異がないかを確認
・修正前後のエビデンスを作成しているかを確認
※修正前のエビデンスを取得していること。但し、カスタマイズ(レベルアップ)案件や再現性が低く困難な場合は除く</t>
    <rPh sb="16" eb="18">
      <t>ガメン</t>
    </rPh>
    <rPh sb="19" eb="21">
      <t>チョウヒョウ</t>
    </rPh>
    <rPh sb="47" eb="49">
      <t>カクニン</t>
    </rPh>
    <rPh sb="51" eb="53">
      <t>シュウセイ</t>
    </rPh>
    <rPh sb="53" eb="55">
      <t>ゼンゴ</t>
    </rPh>
    <rPh sb="62" eb="64">
      <t>サクセイ</t>
    </rPh>
    <rPh sb="70" eb="72">
      <t>カクニン</t>
    </rPh>
    <rPh sb="117" eb="118">
      <t>ヒク</t>
    </rPh>
    <rPh sb="119" eb="121">
      <t>コンナン</t>
    </rPh>
    <phoneticPr fontId="5"/>
  </si>
  <si>
    <t>IIS再起動</t>
    <rPh sb="3" eb="6">
      <t>サイキドウ</t>
    </rPh>
    <phoneticPr fontId="9"/>
  </si>
  <si>
    <t xml:space="preserve">汎用コードや画面項目定義を修正した場合、DB反映後にIISの再起動を実施していることを確認
IISの再起動のエビデンスを取得し、確認を行うこと。
</t>
    <rPh sb="0" eb="2">
      <t>ハンヨウ</t>
    </rPh>
    <rPh sb="6" eb="8">
      <t>ガメン</t>
    </rPh>
    <rPh sb="8" eb="10">
      <t>コウモク</t>
    </rPh>
    <rPh sb="10" eb="12">
      <t>テイギ</t>
    </rPh>
    <rPh sb="13" eb="15">
      <t>シュウセイ</t>
    </rPh>
    <rPh sb="17" eb="19">
      <t>バアイ</t>
    </rPh>
    <rPh sb="22" eb="24">
      <t>ハンエイ</t>
    </rPh>
    <rPh sb="24" eb="25">
      <t>ゴ</t>
    </rPh>
    <rPh sb="30" eb="33">
      <t>サイキドウ</t>
    </rPh>
    <rPh sb="34" eb="36">
      <t>ジッシ</t>
    </rPh>
    <rPh sb="43" eb="45">
      <t>カクニン</t>
    </rPh>
    <rPh sb="60" eb="62">
      <t>シュトク</t>
    </rPh>
    <rPh sb="64" eb="66">
      <t>カクニン</t>
    </rPh>
    <rPh sb="67" eb="68">
      <t>オコナ</t>
    </rPh>
    <phoneticPr fontId="5"/>
  </si>
  <si>
    <t>誤修正が発見できない。</t>
    <rPh sb="0" eb="1">
      <t>ゴ</t>
    </rPh>
    <rPh sb="1" eb="3">
      <t>シュウセイ</t>
    </rPh>
    <rPh sb="4" eb="6">
      <t>ハッケン</t>
    </rPh>
    <phoneticPr fontId="9"/>
  </si>
  <si>
    <t>テーブル</t>
    <phoneticPr fontId="3"/>
  </si>
  <si>
    <t>名前</t>
    <rPh sb="0" eb="2">
      <t>ナマエ</t>
    </rPh>
    <phoneticPr fontId="42"/>
  </si>
  <si>
    <t>-</t>
    <phoneticPr fontId="3"/>
  </si>
  <si>
    <t>Exｃel</t>
    <phoneticPr fontId="42"/>
  </si>
  <si>
    <t>3-1</t>
    <phoneticPr fontId="9"/>
  </si>
  <si>
    <t>倍率</t>
    <rPh sb="0" eb="2">
      <t>バイリツ</t>
    </rPh>
    <phoneticPr fontId="42"/>
  </si>
  <si>
    <t>4-1</t>
    <phoneticPr fontId="9"/>
  </si>
  <si>
    <t xml:space="preserve">単体テスト結果ファイル名：「案件ID+単体テスト結果+（銀行ID.銀行英語名).xls」
　　　例：RT-RT-20641単体テスト結果(085.HigashiNihon).xls
</t>
    <phoneticPr fontId="42"/>
  </si>
  <si>
    <t xml:space="preserve">単体テスト結果のシート名は単体テスト仕様書の確認内容の番号で作成する。（複数の確認内容の番号を合わせてシート名を作成する時は明確に表示）
</t>
    <phoneticPr fontId="2"/>
  </si>
  <si>
    <t xml:space="preserve">テストデータに関して、修正前後が同一データで使用する。
</t>
    <phoneticPr fontId="2"/>
  </si>
  <si>
    <t xml:space="preserve">テストデータのエビデンスは文字列として張り付ける（数値の頭0が消えていない事、指数表示となっていない事など）
</t>
    <rPh sb="13" eb="15">
      <t>モジ</t>
    </rPh>
    <rPh sb="15" eb="16">
      <t>レツ</t>
    </rPh>
    <rPh sb="19" eb="20">
      <t>ハ</t>
    </rPh>
    <rPh sb="21" eb="22">
      <t>ツ</t>
    </rPh>
    <rPh sb="25" eb="27">
      <t>スウチ</t>
    </rPh>
    <rPh sb="28" eb="29">
      <t>アタマ</t>
    </rPh>
    <rPh sb="31" eb="32">
      <t>キ</t>
    </rPh>
    <rPh sb="37" eb="38">
      <t>コト</t>
    </rPh>
    <rPh sb="39" eb="41">
      <t>シスウ</t>
    </rPh>
    <rPh sb="41" eb="43">
      <t>ヒョウジ</t>
    </rPh>
    <rPh sb="50" eb="51">
      <t>コト</t>
    </rPh>
    <phoneticPr fontId="2"/>
  </si>
  <si>
    <t>ユーザ情報マスタ</t>
    <phoneticPr fontId="2"/>
  </si>
  <si>
    <t>名前</t>
    <rPh sb="0" eb="2">
      <t>ナマエ</t>
    </rPh>
    <phoneticPr fontId="2"/>
  </si>
  <si>
    <t>PCM_user</t>
    <phoneticPr fontId="2"/>
  </si>
  <si>
    <t>CMbtn_BranchNo</t>
    <phoneticPr fontId="2"/>
  </si>
  <si>
    <t>CMbtn_BranchName</t>
  </si>
  <si>
    <t>CMbtn_Butenkaku</t>
  </si>
  <si>
    <t>CMbtn_SinkiTourokuDate</t>
  </si>
  <si>
    <t>CMbtn_SinkiTourokuUserNo</t>
  </si>
  <si>
    <t>CMbtn_LastUpdate</t>
  </si>
  <si>
    <t>CMbtn_UpdateUserNo</t>
  </si>
  <si>
    <t>項目名と項目ID</t>
    <phoneticPr fontId="2"/>
  </si>
  <si>
    <t>店番</t>
  </si>
  <si>
    <t>店名</t>
  </si>
  <si>
    <t>部店格</t>
  </si>
  <si>
    <t>新規登録日時</t>
  </si>
  <si>
    <t>新規登録行員番号</t>
  </si>
  <si>
    <t>最終更新日時</t>
  </si>
  <si>
    <t>更新行員番号</t>
  </si>
  <si>
    <t>0001</t>
  </si>
  <si>
    <t>初期登録店</t>
  </si>
  <si>
    <t>BUTENKAKU3</t>
  </si>
  <si>
    <t>2003/07/26 20:22:03</t>
  </si>
  <si>
    <t xml:space="preserve">0         </t>
  </si>
  <si>
    <t>2004/02/02 21:38:12</t>
    <phoneticPr fontId="2"/>
  </si>
  <si>
    <t>0000000001</t>
  </si>
  <si>
    <t>対象データ</t>
    <phoneticPr fontId="2"/>
  </si>
  <si>
    <t>テスト営業店</t>
    <phoneticPr fontId="2"/>
  </si>
  <si>
    <t>BUTENKAKU1</t>
  </si>
  <si>
    <t>2012/05/16 16:29:01</t>
    <phoneticPr fontId="2"/>
  </si>
  <si>
    <t>テスト本部</t>
  </si>
  <si>
    <t>BUTENKAKU2</t>
  </si>
  <si>
    <t>2012/05/17 18:05:43</t>
  </si>
  <si>
    <t>2012/05/17 18:05:43</t>
    <phoneticPr fontId="2"/>
  </si>
  <si>
    <t>0004テスト</t>
  </si>
  <si>
    <t>2012/05/22 14:39:25</t>
  </si>
  <si>
    <t>2012/05/22 14:39:25</t>
    <phoneticPr fontId="2"/>
  </si>
  <si>
    <t xml:space="preserve">重要、参照カラム
</t>
    <phoneticPr fontId="2"/>
  </si>
  <si>
    <t>サイズ</t>
  </si>
  <si>
    <t>重要、参照字段</t>
  </si>
  <si>
    <t>倍率</t>
    <phoneticPr fontId="2"/>
  </si>
  <si>
    <t xml:space="preserve">成果物は、案件番号単位のフォルダを作成し以下ディレクトリに配置する。
\\isid25061\PublicFile\融資格付_テスト結果\G.単体テスト
フォルダ作成する際の雛形フォルダは以下とする。
\\isid25061\PublicFile\融資格付_テスト結果\G.単体テスト\雛形フォルダ
</t>
    <rPh sb="0" eb="2">
      <t>セイカ</t>
    </rPh>
    <rPh sb="2" eb="3">
      <t>ブツ</t>
    </rPh>
    <rPh sb="5" eb="6">
      <t>アン</t>
    </rPh>
    <rPh sb="6" eb="7">
      <t>ケン</t>
    </rPh>
    <rPh sb="7" eb="9">
      <t>バンゴウ</t>
    </rPh>
    <rPh sb="9" eb="11">
      <t>タンイ</t>
    </rPh>
    <rPh sb="17" eb="19">
      <t>サクセイ</t>
    </rPh>
    <rPh sb="29" eb="31">
      <t>ハイチ</t>
    </rPh>
    <rPh sb="82" eb="84">
      <t>サクセイ</t>
    </rPh>
    <rPh sb="86" eb="87">
      <t>サイ</t>
    </rPh>
    <rPh sb="88" eb="90">
      <t>ヒナガタ</t>
    </rPh>
    <rPh sb="95" eb="97">
      <t>イカ</t>
    </rPh>
    <phoneticPr fontId="5"/>
  </si>
  <si>
    <t>1-2</t>
    <phoneticPr fontId="43"/>
  </si>
  <si>
    <t xml:space="preserve">複数機能に分かれる場合は、機能フォルダを複数(F01,F02,・・・)用意する。
RT-RT-XXXXX_000.銀行名(英名)_IQM件名\F00
通常保守案件は複数に分かれないため、機能フォルダはF00のみとなる。
</t>
    <rPh sb="0" eb="2">
      <t>フクスウ</t>
    </rPh>
    <rPh sb="2" eb="4">
      <t>キノウ</t>
    </rPh>
    <rPh sb="5" eb="6">
      <t>ワ</t>
    </rPh>
    <rPh sb="9" eb="11">
      <t>バアイ</t>
    </rPh>
    <rPh sb="13" eb="15">
      <t>キノウ</t>
    </rPh>
    <rPh sb="20" eb="22">
      <t>フクスウ</t>
    </rPh>
    <rPh sb="35" eb="37">
      <t>ヨウイ</t>
    </rPh>
    <rPh sb="76" eb="78">
      <t>ツウジョウ</t>
    </rPh>
    <rPh sb="78" eb="80">
      <t>ホシュ</t>
    </rPh>
    <rPh sb="80" eb="81">
      <t>アン</t>
    </rPh>
    <rPh sb="81" eb="82">
      <t>ケン</t>
    </rPh>
    <rPh sb="83" eb="85">
      <t>フクスウ</t>
    </rPh>
    <rPh sb="86" eb="87">
      <t>ワ</t>
    </rPh>
    <rPh sb="94" eb="96">
      <t>キノウ</t>
    </rPh>
    <phoneticPr fontId="43"/>
  </si>
  <si>
    <t>Y</t>
    <phoneticPr fontId="43"/>
  </si>
  <si>
    <t>1-3</t>
    <phoneticPr fontId="43"/>
  </si>
  <si>
    <t xml:space="preserve">レビュー指摘等への対応で成果物を複数回配置する場合、対応フォルダはインクリメントして区別すること。 001→002→003・・・
その際、フォルダには、最終成果物（単体テスト仕様書、単体テスト結果等）を配置すること。
</t>
    <rPh sb="4" eb="6">
      <t>シテキ</t>
    </rPh>
    <rPh sb="6" eb="7">
      <t>トウ</t>
    </rPh>
    <rPh sb="9" eb="11">
      <t>タイオウ</t>
    </rPh>
    <rPh sb="12" eb="15">
      <t>セイカブツ</t>
    </rPh>
    <rPh sb="16" eb="19">
      <t>フクスウカイ</t>
    </rPh>
    <rPh sb="19" eb="21">
      <t>ハイチ</t>
    </rPh>
    <rPh sb="23" eb="25">
      <t>バアイ</t>
    </rPh>
    <rPh sb="26" eb="28">
      <t>タイオウ</t>
    </rPh>
    <rPh sb="42" eb="44">
      <t>クベツ</t>
    </rPh>
    <rPh sb="67" eb="68">
      <t>サイ</t>
    </rPh>
    <rPh sb="76" eb="78">
      <t>サイシュウ</t>
    </rPh>
    <rPh sb="78" eb="81">
      <t>セイカブツ</t>
    </rPh>
    <rPh sb="82" eb="84">
      <t>タンタイ</t>
    </rPh>
    <rPh sb="87" eb="89">
      <t>シヨウ</t>
    </rPh>
    <rPh sb="89" eb="90">
      <t>ショ</t>
    </rPh>
    <rPh sb="91" eb="93">
      <t>タンタイ</t>
    </rPh>
    <rPh sb="96" eb="98">
      <t>ケッカ</t>
    </rPh>
    <rPh sb="98" eb="99">
      <t>トウ</t>
    </rPh>
    <rPh sb="101" eb="103">
      <t>ハイチ</t>
    </rPh>
    <phoneticPr fontId="43"/>
  </si>
  <si>
    <t>N</t>
    <phoneticPr fontId="43"/>
  </si>
  <si>
    <t>1-4</t>
    <phoneticPr fontId="43"/>
  </si>
  <si>
    <t>対応漏れ確認</t>
    <rPh sb="0" eb="3">
      <t>タイオウモ</t>
    </rPh>
    <rPh sb="4" eb="6">
      <t>カクニン</t>
    </rPh>
    <phoneticPr fontId="43"/>
  </si>
  <si>
    <t>・テスト仕様書とテスト結果を突合し 、抜け漏れが無いことを確認する。
・ITA実施前に1項目の確認を作業者・再鑑者の2名以上の体制で必ず実施し、完了させること。</t>
    <rPh sb="11" eb="13">
      <t>ケッカ</t>
    </rPh>
    <phoneticPr fontId="43"/>
  </si>
  <si>
    <t>テスト計画</t>
    <rPh sb="3" eb="5">
      <t>ケイカク</t>
    </rPh>
    <phoneticPr fontId="3"/>
  </si>
  <si>
    <t>目的・前提</t>
    <rPh sb="0" eb="2">
      <t>モクテキ</t>
    </rPh>
    <rPh sb="3" eb="5">
      <t>ゼンテイ</t>
    </rPh>
    <phoneticPr fontId="5"/>
  </si>
  <si>
    <t>目的</t>
    <rPh sb="0" eb="2">
      <t>モクテキ</t>
    </rPh>
    <phoneticPr fontId="5"/>
  </si>
  <si>
    <t xml:space="preserve">・目的や実施方針が記載されているか確認
</t>
    <rPh sb="1" eb="3">
      <t>モクテキ</t>
    </rPh>
    <rPh sb="4" eb="6">
      <t>ジッシ</t>
    </rPh>
    <rPh sb="6" eb="8">
      <t>ホウシン</t>
    </rPh>
    <rPh sb="9" eb="11">
      <t>キサイ</t>
    </rPh>
    <phoneticPr fontId="5"/>
  </si>
  <si>
    <t>テスト対象・範囲</t>
    <rPh sb="3" eb="5">
      <t>タイショウ</t>
    </rPh>
    <rPh sb="6" eb="8">
      <t>ハンイ</t>
    </rPh>
    <phoneticPr fontId="5"/>
  </si>
  <si>
    <t xml:space="preserve">・テスト対象の記載がされているか確認
・テスト対象外の記載がされているか確認
</t>
    <rPh sb="4" eb="6">
      <t>タイショウ</t>
    </rPh>
    <rPh sb="7" eb="9">
      <t>キサイ</t>
    </rPh>
    <rPh sb="16" eb="18">
      <t>カクニン</t>
    </rPh>
    <rPh sb="23" eb="26">
      <t>タイショウガイ</t>
    </rPh>
    <rPh sb="27" eb="29">
      <t>キサイ</t>
    </rPh>
    <phoneticPr fontId="5"/>
  </si>
  <si>
    <t>テスト方法</t>
    <rPh sb="3" eb="5">
      <t>ホウホウ</t>
    </rPh>
    <phoneticPr fontId="5"/>
  </si>
  <si>
    <t xml:space="preserve">・実施のフェージングとフェーズ毎の位置づけの記載されているか確認
</t>
    <rPh sb="1" eb="3">
      <t>ジッシ</t>
    </rPh>
    <rPh sb="15" eb="16">
      <t>ゴト</t>
    </rPh>
    <rPh sb="17" eb="19">
      <t>イチ</t>
    </rPh>
    <rPh sb="22" eb="24">
      <t>キサイ</t>
    </rPh>
    <phoneticPr fontId="5"/>
  </si>
  <si>
    <t>環境</t>
    <rPh sb="0" eb="2">
      <t>カンキョウ</t>
    </rPh>
    <phoneticPr fontId="5"/>
  </si>
  <si>
    <t>実施環境</t>
    <rPh sb="0" eb="2">
      <t>ジッシ</t>
    </rPh>
    <rPh sb="2" eb="4">
      <t>カンキョウ</t>
    </rPh>
    <phoneticPr fontId="5"/>
  </si>
  <si>
    <t xml:space="preserve">・テスト実施のサーバー環境の記載されているか確認
・テスト実施のクライアント環境の記載されているか確認
</t>
    <rPh sb="4" eb="6">
      <t>ジッシ</t>
    </rPh>
    <rPh sb="11" eb="13">
      <t>カンキョウ</t>
    </rPh>
    <rPh sb="29" eb="31">
      <t>ジッシ</t>
    </rPh>
    <rPh sb="38" eb="40">
      <t>カンキョウ</t>
    </rPh>
    <rPh sb="41" eb="43">
      <t>キサイ</t>
    </rPh>
    <phoneticPr fontId="5"/>
  </si>
  <si>
    <t>1-6</t>
  </si>
  <si>
    <t>環境作成</t>
    <rPh sb="0" eb="2">
      <t>カンキョウ</t>
    </rPh>
    <rPh sb="2" eb="4">
      <t>サクセイ</t>
    </rPh>
    <phoneticPr fontId="5"/>
  </si>
  <si>
    <t xml:space="preserve">・環境作成リソース等の記載されているか確認
</t>
    <rPh sb="1" eb="3">
      <t>カンキョウ</t>
    </rPh>
    <rPh sb="3" eb="5">
      <t>サクセイ</t>
    </rPh>
    <rPh sb="9" eb="10">
      <t>トウ</t>
    </rPh>
    <rPh sb="11" eb="13">
      <t>キサイ</t>
    </rPh>
    <phoneticPr fontId="5"/>
  </si>
  <si>
    <t>1-7</t>
  </si>
  <si>
    <t>運用</t>
    <rPh sb="0" eb="2">
      <t>ウンヨウ</t>
    </rPh>
    <phoneticPr fontId="5"/>
  </si>
  <si>
    <t>テスト体制</t>
    <rPh sb="3" eb="5">
      <t>タイセイ</t>
    </rPh>
    <phoneticPr fontId="5"/>
  </si>
  <si>
    <t xml:space="preserve">・体制について記載されているか確認
</t>
    <rPh sb="1" eb="3">
      <t>タイセイ</t>
    </rPh>
    <rPh sb="7" eb="9">
      <t>キサイ</t>
    </rPh>
    <phoneticPr fontId="5"/>
  </si>
  <si>
    <t>1-8</t>
  </si>
  <si>
    <t>テストケース</t>
  </si>
  <si>
    <t xml:space="preserve">・テストケース作成方針の記載されているか確認
</t>
    <rPh sb="7" eb="9">
      <t>サクセイ</t>
    </rPh>
    <rPh sb="9" eb="11">
      <t>ホウシン</t>
    </rPh>
    <rPh sb="12" eb="14">
      <t>キサイ</t>
    </rPh>
    <phoneticPr fontId="5"/>
  </si>
  <si>
    <t>1-9</t>
  </si>
  <si>
    <t>テスト実施および再鑑</t>
    <rPh sb="3" eb="5">
      <t>ジッシ</t>
    </rPh>
    <rPh sb="8" eb="9">
      <t>サイ</t>
    </rPh>
    <rPh sb="9" eb="10">
      <t>カガミ</t>
    </rPh>
    <phoneticPr fontId="5"/>
  </si>
  <si>
    <t xml:space="preserve">・テスト実施にかかわる役割の記載されているか確認
</t>
    <rPh sb="4" eb="6">
      <t>ジッシ</t>
    </rPh>
    <rPh sb="11" eb="13">
      <t>ヤクワリ</t>
    </rPh>
    <rPh sb="14" eb="16">
      <t>キサイ</t>
    </rPh>
    <phoneticPr fontId="5"/>
  </si>
  <si>
    <t>1-10</t>
  </si>
  <si>
    <t>障害管理</t>
    <rPh sb="0" eb="2">
      <t>ショウガイ</t>
    </rPh>
    <rPh sb="2" eb="4">
      <t>カンリ</t>
    </rPh>
    <phoneticPr fontId="5"/>
  </si>
  <si>
    <t xml:space="preserve">・障害管理票の起票基準についての記載されているか確認
・障害管理票の運用方法についての記載されているか確認
</t>
    <rPh sb="1" eb="3">
      <t>ショウガイ</t>
    </rPh>
    <rPh sb="3" eb="5">
      <t>カンリ</t>
    </rPh>
    <rPh sb="5" eb="6">
      <t>ヒョウ</t>
    </rPh>
    <rPh sb="7" eb="9">
      <t>キヒョウ</t>
    </rPh>
    <rPh sb="9" eb="11">
      <t>キジュン</t>
    </rPh>
    <rPh sb="34" eb="36">
      <t>ウンヨウ</t>
    </rPh>
    <rPh sb="36" eb="38">
      <t>ホウホウ</t>
    </rPh>
    <rPh sb="43" eb="45">
      <t>キサイ</t>
    </rPh>
    <phoneticPr fontId="5"/>
  </si>
  <si>
    <t>1-11</t>
  </si>
  <si>
    <t>モジュール管理</t>
    <rPh sb="5" eb="7">
      <t>カンリ</t>
    </rPh>
    <phoneticPr fontId="5"/>
  </si>
  <si>
    <t xml:space="preserve">・障害発生時のモジュール管理についての記載されているか確認
</t>
    <rPh sb="1" eb="3">
      <t>ショウガイ</t>
    </rPh>
    <rPh sb="3" eb="5">
      <t>ハッセイ</t>
    </rPh>
    <rPh sb="5" eb="6">
      <t>ジ</t>
    </rPh>
    <rPh sb="12" eb="14">
      <t>カンリ</t>
    </rPh>
    <rPh sb="19" eb="21">
      <t>キサイ</t>
    </rPh>
    <phoneticPr fontId="5"/>
  </si>
  <si>
    <t>1-12</t>
  </si>
  <si>
    <t>進捗管理</t>
    <rPh sb="0" eb="2">
      <t>シンチョク</t>
    </rPh>
    <rPh sb="2" eb="4">
      <t>カンリ</t>
    </rPh>
    <phoneticPr fontId="5"/>
  </si>
  <si>
    <t xml:space="preserve">・進捗管理方法について記載されているか確認
</t>
    <rPh sb="1" eb="3">
      <t>シンチョク</t>
    </rPh>
    <rPh sb="3" eb="5">
      <t>カンリ</t>
    </rPh>
    <rPh sb="5" eb="7">
      <t>ホウホウ</t>
    </rPh>
    <rPh sb="11" eb="13">
      <t>キサイ</t>
    </rPh>
    <rPh sb="19" eb="21">
      <t>カクニン</t>
    </rPh>
    <phoneticPr fontId="5"/>
  </si>
  <si>
    <t>1-13</t>
  </si>
  <si>
    <t>品質管理</t>
    <rPh sb="0" eb="2">
      <t>ヒンシツ</t>
    </rPh>
    <rPh sb="2" eb="4">
      <t>カンリ</t>
    </rPh>
    <phoneticPr fontId="5"/>
  </si>
  <si>
    <t>弱点分析</t>
    <rPh sb="0" eb="2">
      <t>ジャクテン</t>
    </rPh>
    <rPh sb="2" eb="4">
      <t>ブンセキ</t>
    </rPh>
    <phoneticPr fontId="5"/>
  </si>
  <si>
    <t xml:space="preserve">・弱点分析について記載されているか確認
</t>
    <rPh sb="1" eb="3">
      <t>ジャクテン</t>
    </rPh>
    <rPh sb="3" eb="5">
      <t>ブンセキ</t>
    </rPh>
    <rPh sb="9" eb="11">
      <t>キサイ</t>
    </rPh>
    <rPh sb="17" eb="19">
      <t>カクニン</t>
    </rPh>
    <phoneticPr fontId="5"/>
  </si>
  <si>
    <t>1-14</t>
  </si>
  <si>
    <t>強化テスト</t>
    <rPh sb="0" eb="2">
      <t>キョウカ</t>
    </rPh>
    <phoneticPr fontId="5"/>
  </si>
  <si>
    <t xml:space="preserve">・強化テストについて記載されているか確認
</t>
    <rPh sb="1" eb="3">
      <t>キョウカ</t>
    </rPh>
    <rPh sb="10" eb="12">
      <t>キサイ</t>
    </rPh>
    <rPh sb="18" eb="20">
      <t>カクニン</t>
    </rPh>
    <phoneticPr fontId="5"/>
  </si>
  <si>
    <t>1-15</t>
  </si>
  <si>
    <t>完了基準</t>
    <rPh sb="0" eb="2">
      <t>カンリョウ</t>
    </rPh>
    <rPh sb="2" eb="4">
      <t>キジュン</t>
    </rPh>
    <phoneticPr fontId="5"/>
  </si>
  <si>
    <t xml:space="preserve">・完了基準について記載されているか確認
</t>
    <rPh sb="1" eb="3">
      <t>カンリョウ</t>
    </rPh>
    <rPh sb="3" eb="5">
      <t>キジュン</t>
    </rPh>
    <rPh sb="9" eb="11">
      <t>キサイ</t>
    </rPh>
    <rPh sb="17" eb="19">
      <t>カクニン</t>
    </rPh>
    <phoneticPr fontId="5"/>
  </si>
  <si>
    <t>1-16</t>
  </si>
  <si>
    <t>納品物</t>
    <rPh sb="0" eb="2">
      <t>ノウヒン</t>
    </rPh>
    <rPh sb="2" eb="3">
      <t>ブツ</t>
    </rPh>
    <phoneticPr fontId="5"/>
  </si>
  <si>
    <t>納品物・成果物</t>
    <rPh sb="0" eb="2">
      <t>ノウヒン</t>
    </rPh>
    <rPh sb="2" eb="3">
      <t>ブツ</t>
    </rPh>
    <rPh sb="4" eb="6">
      <t>セイカ</t>
    </rPh>
    <rPh sb="6" eb="7">
      <t>ブツ</t>
    </rPh>
    <phoneticPr fontId="5"/>
  </si>
  <si>
    <t xml:space="preserve">・納品物について記載されているか確認
・成果物について記載されているか確認
</t>
    <rPh sb="1" eb="3">
      <t>ノウヒン</t>
    </rPh>
    <rPh sb="3" eb="4">
      <t>ブツ</t>
    </rPh>
    <rPh sb="8" eb="10">
      <t>キサイ</t>
    </rPh>
    <rPh sb="16" eb="18">
      <t>カクニン</t>
    </rPh>
    <rPh sb="20" eb="22">
      <t>セイカ</t>
    </rPh>
    <rPh sb="22" eb="23">
      <t>ブツ</t>
    </rPh>
    <rPh sb="27" eb="29">
      <t>キサイ</t>
    </rPh>
    <rPh sb="35" eb="37">
      <t>カクニン</t>
    </rPh>
    <phoneticPr fontId="5"/>
  </si>
  <si>
    <t>1-17</t>
  </si>
  <si>
    <t>スケジュール</t>
  </si>
  <si>
    <t>スケジュール</t>
    <phoneticPr fontId="9"/>
  </si>
  <si>
    <t xml:space="preserve">・スケジュールについて記載されているか確認
</t>
    <rPh sb="11" eb="13">
      <t>キサイ</t>
    </rPh>
    <rPh sb="19" eb="21">
      <t>カクニン</t>
    </rPh>
    <phoneticPr fontId="5"/>
  </si>
  <si>
    <t>仕様・実施</t>
    <rPh sb="0" eb="2">
      <t>シヨウ</t>
    </rPh>
    <rPh sb="3" eb="5">
      <t>ジッシ</t>
    </rPh>
    <phoneticPr fontId="2"/>
  </si>
  <si>
    <t>マスタデータ</t>
  </si>
  <si>
    <t xml:space="preserve">・マスタデータはカスタマイズ版になっているか確認
(PKGから設定変更の場合等)
</t>
    <rPh sb="14" eb="15">
      <t>バン</t>
    </rPh>
    <rPh sb="22" eb="24">
      <t>カクニン</t>
    </rPh>
    <rPh sb="36" eb="38">
      <t>バアイ</t>
    </rPh>
    <rPh sb="38" eb="39">
      <t>トウ</t>
    </rPh>
    <phoneticPr fontId="5"/>
  </si>
  <si>
    <t>定義ファイル</t>
    <rPh sb="0" eb="2">
      <t>テイギ</t>
    </rPh>
    <phoneticPr fontId="5"/>
  </si>
  <si>
    <t xml:space="preserve">・定義ファイル(config・XML等)はカスタマイズ版になっているか確認
(PKGから設定変更の場合等)
</t>
    <rPh sb="1" eb="3">
      <t>テイギ</t>
    </rPh>
    <rPh sb="18" eb="19">
      <t>トウ</t>
    </rPh>
    <rPh sb="27" eb="28">
      <t>バン</t>
    </rPh>
    <rPh sb="35" eb="37">
      <t>カクニン</t>
    </rPh>
    <phoneticPr fontId="5"/>
  </si>
  <si>
    <t xml:space="preserve">・バッチ処理順序はカスタマイズ版になっているか確認
・起動日時はカスタマイズ版になっているか確認
(PKGから設定変更の場合等)
</t>
    <rPh sb="4" eb="6">
      <t>ショリ</t>
    </rPh>
    <rPh sb="6" eb="8">
      <t>ジュンジョ</t>
    </rPh>
    <rPh sb="27" eb="29">
      <t>キドウ</t>
    </rPh>
    <rPh sb="29" eb="31">
      <t>ニチジ</t>
    </rPh>
    <rPh sb="38" eb="39">
      <t>バン</t>
    </rPh>
    <rPh sb="46" eb="48">
      <t>カクニン</t>
    </rPh>
    <phoneticPr fontId="5"/>
  </si>
  <si>
    <t xml:space="preserve">・環境作成ツールを使用して環境作成をしているか確認
</t>
    <rPh sb="1" eb="3">
      <t>カンキョウ</t>
    </rPh>
    <rPh sb="3" eb="5">
      <t>サクセイ</t>
    </rPh>
    <rPh sb="9" eb="11">
      <t>シヨウ</t>
    </rPh>
    <rPh sb="13" eb="15">
      <t>カンキョウ</t>
    </rPh>
    <rPh sb="15" eb="17">
      <t>サクセイ</t>
    </rPh>
    <rPh sb="23" eb="25">
      <t>カクニン</t>
    </rPh>
    <phoneticPr fontId="5"/>
  </si>
  <si>
    <t xml:space="preserve">・パフォーマンスについてケースに含まれているか確認
</t>
    <rPh sb="16" eb="17">
      <t>フク</t>
    </rPh>
    <rPh sb="23" eb="25">
      <t>カクニン</t>
    </rPh>
    <phoneticPr fontId="5"/>
  </si>
  <si>
    <t>不要表示</t>
    <rPh sb="0" eb="2">
      <t>フヨウ</t>
    </rPh>
    <rPh sb="2" eb="4">
      <t>ヒョウジ</t>
    </rPh>
    <phoneticPr fontId="5"/>
  </si>
  <si>
    <t xml:space="preserve">・不要なボタン・リンクは含まれていないか確認
</t>
    <rPh sb="1" eb="3">
      <t>フヨウ</t>
    </rPh>
    <rPh sb="12" eb="13">
      <t>フク</t>
    </rPh>
    <phoneticPr fontId="5"/>
  </si>
  <si>
    <t>宮崎銀行不動産
（受付登録）</t>
    <rPh sb="0" eb="2">
      <t>ミヤザキ</t>
    </rPh>
    <rPh sb="2" eb="4">
      <t>ギンコウ</t>
    </rPh>
    <rPh sb="4" eb="7">
      <t>フドウサン</t>
    </rPh>
    <rPh sb="9" eb="11">
      <t>ウケツケ</t>
    </rPh>
    <rPh sb="11" eb="13">
      <t>トウロク</t>
    </rPh>
    <phoneticPr fontId="9"/>
  </si>
  <si>
    <t xml:space="preserve">・不動産担保評価の受付登録画面を改修する場合、更新パターン表を基にテストを実施すること。
http://ksvnrp16.isid.co.jp/BANKR1/trunk/doc/080.Miyazaki/P07.不動産評価/03.マスタ/D.案件管理/宮崎銀行_不動産_受付登録画面更新パターン表.xlsx
</t>
    <phoneticPr fontId="9"/>
  </si>
  <si>
    <t xml:space="preserve">起票者および操作者のユーザ（権限）・ステータスごとで、正しく登録、更新ができなくなる可能性がある。
</t>
    <phoneticPr fontId="9"/>
  </si>
  <si>
    <t>宮崎不動産は別出し？</t>
  </si>
  <si>
    <t xml:space="preserve">・システムログへの出力が確認に含まれているか確認
</t>
    <rPh sb="9" eb="11">
      <t>シュツリョク</t>
    </rPh>
    <rPh sb="12" eb="14">
      <t>カクニン</t>
    </rPh>
    <rPh sb="15" eb="16">
      <t>フク</t>
    </rPh>
    <rPh sb="22" eb="24">
      <t>カクニン</t>
    </rPh>
    <phoneticPr fontId="5"/>
  </si>
  <si>
    <t>I/F取込確認</t>
    <rPh sb="3" eb="5">
      <t>トリコミ</t>
    </rPh>
    <rPh sb="5" eb="7">
      <t>カクニン</t>
    </rPh>
    <phoneticPr fontId="9"/>
  </si>
  <si>
    <t>・カスタマイズを実施していないI/Fファイルについても、意味の有るデータが登録されているファイルを準備し、疎通確認を実施する事。</t>
    <rPh sb="8" eb="10">
      <t>ジッシ</t>
    </rPh>
    <rPh sb="49" eb="51">
      <t>ジュンビ</t>
    </rPh>
    <rPh sb="53" eb="55">
      <t>ソツウ</t>
    </rPh>
    <rPh sb="55" eb="57">
      <t>カクニン</t>
    </rPh>
    <rPh sb="58" eb="60">
      <t>ジッシ</t>
    </rPh>
    <rPh sb="62" eb="63">
      <t>コト</t>
    </rPh>
    <phoneticPr fontId="5"/>
  </si>
  <si>
    <t xml:space="preserve">OS、SQLServerのバージョン等に起因したパッケージ不具合に気づかない場合がある。(RT-RT-38153_稟議の預金明細と平残のI/FファイルのDownBatPlus取込でエラーが発生する)
</t>
    <rPh sb="18" eb="19">
      <t>トウ</t>
    </rPh>
    <rPh sb="20" eb="22">
      <t>キイン</t>
    </rPh>
    <rPh sb="29" eb="32">
      <t>フグアイ</t>
    </rPh>
    <rPh sb="33" eb="34">
      <t>キ</t>
    </rPh>
    <rPh sb="38" eb="40">
      <t>バアイ</t>
    </rPh>
    <phoneticPr fontId="9"/>
  </si>
  <si>
    <t>ステータスファイル連携</t>
    <rPh sb="9" eb="11">
      <t>レンケイ</t>
    </rPh>
    <phoneticPr fontId="9"/>
  </si>
  <si>
    <t xml:space="preserve">夜間バッチ処理内部でステータスファイルを受け渡している場合、失敗時にステータスファイルが出力されないこと、受け渡し先でステータスファイルが確実に削除されることを確認する。
</t>
    <rPh sb="0" eb="2">
      <t>ヤカン</t>
    </rPh>
    <rPh sb="5" eb="7">
      <t>ショリ</t>
    </rPh>
    <rPh sb="7" eb="9">
      <t>ナイブ</t>
    </rPh>
    <rPh sb="20" eb="21">
      <t>ウ</t>
    </rPh>
    <rPh sb="22" eb="23">
      <t>ワタ</t>
    </rPh>
    <rPh sb="27" eb="29">
      <t>バアイ</t>
    </rPh>
    <rPh sb="30" eb="32">
      <t>シッパイ</t>
    </rPh>
    <rPh sb="32" eb="33">
      <t>ジ</t>
    </rPh>
    <rPh sb="44" eb="46">
      <t>シュツリョク</t>
    </rPh>
    <rPh sb="53" eb="54">
      <t>ウ</t>
    </rPh>
    <rPh sb="55" eb="56">
      <t>ワタ</t>
    </rPh>
    <rPh sb="57" eb="58">
      <t>サキ</t>
    </rPh>
    <rPh sb="69" eb="71">
      <t>カクジツ</t>
    </rPh>
    <rPh sb="72" eb="74">
      <t>サクジョ</t>
    </rPh>
    <rPh sb="80" eb="82">
      <t>カクニン</t>
    </rPh>
    <phoneticPr fontId="5"/>
  </si>
  <si>
    <t>RT-RT-40625 バックアップステータスファイル(事前処理)が常に存在してしまう</t>
    <phoneticPr fontId="9"/>
  </si>
  <si>
    <t>ログ確認</t>
    <rPh sb="2" eb="4">
      <t>カクニン</t>
    </rPh>
    <phoneticPr fontId="9"/>
  </si>
  <si>
    <t xml:space="preserve">・exe.logの確認がケースに含まれているか。
※三島信用金庫の統合DBの場合、extra.logの確認も必要。
</t>
    <rPh sb="9" eb="11">
      <t>カクニン</t>
    </rPh>
    <rPh sb="16" eb="17">
      <t>フク</t>
    </rPh>
    <rPh sb="26" eb="28">
      <t>ミシマ</t>
    </rPh>
    <rPh sb="28" eb="30">
      <t>シンヨウ</t>
    </rPh>
    <rPh sb="30" eb="32">
      <t>キンコ</t>
    </rPh>
    <rPh sb="33" eb="35">
      <t>トウゴウ</t>
    </rPh>
    <rPh sb="38" eb="40">
      <t>バアイ</t>
    </rPh>
    <rPh sb="51" eb="53">
      <t>カクニン</t>
    </rPh>
    <rPh sb="54" eb="56">
      <t>ヒツヨウ</t>
    </rPh>
    <phoneticPr fontId="5"/>
  </si>
  <si>
    <t>想定していなかった障害を検知することができない。</t>
    <rPh sb="0" eb="2">
      <t>ソウテイ</t>
    </rPh>
    <rPh sb="9" eb="11">
      <t>ショウガイ</t>
    </rPh>
    <rPh sb="12" eb="14">
      <t>ケンチ</t>
    </rPh>
    <phoneticPr fontId="9"/>
  </si>
  <si>
    <t xml:space="preserve">・リカバリーにかかわる機能についてケースに含まれているか確認
</t>
    <rPh sb="11" eb="13">
      <t>キノウ</t>
    </rPh>
    <rPh sb="21" eb="22">
      <t>フク</t>
    </rPh>
    <rPh sb="28" eb="30">
      <t>カクニン</t>
    </rPh>
    <phoneticPr fontId="5"/>
  </si>
  <si>
    <t>画面と帳票の整合性</t>
    <rPh sb="0" eb="2">
      <t>ガメン</t>
    </rPh>
    <rPh sb="3" eb="5">
      <t>チョウヒョウ</t>
    </rPh>
    <rPh sb="6" eb="9">
      <t>セイゴウセイ</t>
    </rPh>
    <phoneticPr fontId="5"/>
  </si>
  <si>
    <t xml:space="preserve">・画面と帳票で、出力もとのデータが同じ場合、処理ロジックが同じかどうかに関わらず、出力値の整合性を確認
</t>
    <rPh sb="1" eb="3">
      <t>ガメン</t>
    </rPh>
    <rPh sb="4" eb="6">
      <t>チョウヒョウ</t>
    </rPh>
    <rPh sb="29" eb="30">
      <t>オナ</t>
    </rPh>
    <rPh sb="36" eb="37">
      <t>カカ</t>
    </rPh>
    <phoneticPr fontId="5"/>
  </si>
  <si>
    <t>他画面との整合性</t>
    <rPh sb="0" eb="1">
      <t>タ</t>
    </rPh>
    <rPh sb="1" eb="3">
      <t>ガメン</t>
    </rPh>
    <rPh sb="5" eb="8">
      <t>セイゴウセイ</t>
    </rPh>
    <phoneticPr fontId="5"/>
  </si>
  <si>
    <t xml:space="preserve">・複数画面で、出力もとのデータが同じ場合、処理ロジックが同じかどうかに関わらず、出力値の整合性を確認
</t>
    <rPh sb="1" eb="3">
      <t>フクスウ</t>
    </rPh>
    <rPh sb="3" eb="5">
      <t>ガメン</t>
    </rPh>
    <rPh sb="28" eb="29">
      <t>オナ</t>
    </rPh>
    <rPh sb="35" eb="36">
      <t>カカ</t>
    </rPh>
    <phoneticPr fontId="5"/>
  </si>
  <si>
    <t>文字コード変換</t>
    <rPh sb="0" eb="2">
      <t>モジ</t>
    </rPh>
    <rPh sb="5" eb="7">
      <t>ヘンカン</t>
    </rPh>
    <phoneticPr fontId="5"/>
  </si>
  <si>
    <t xml:space="preserve">・文字コードの変換テストが必要な場合、外字を変換するケースが含まれているか
</t>
    <rPh sb="13" eb="15">
      <t>ヒツヨウ</t>
    </rPh>
    <phoneticPr fontId="5"/>
  </si>
  <si>
    <t>対応漏れ確認</t>
    <rPh sb="0" eb="3">
      <t>タイオウモ</t>
    </rPh>
    <rPh sb="4" eb="6">
      <t>カクニン</t>
    </rPh>
    <phoneticPr fontId="9"/>
  </si>
  <si>
    <t>・設計書とテスト概要を突合し 、抜け漏れが無いことを確認する。
・テスト概要とテスト仕様書を突合し 、抜け漏れが無いことを確認する。
・ITA実施前に1項目の確認を作業者・再鑑者の2名以上の体制で必ず実施し、完了させること。</t>
    <rPh sb="1" eb="4">
      <t>セッケイショ</t>
    </rPh>
    <rPh sb="8" eb="10">
      <t>ガイヨウ</t>
    </rPh>
    <rPh sb="36" eb="38">
      <t>ガイヨウ</t>
    </rPh>
    <rPh sb="42" eb="45">
      <t>シヨウショ</t>
    </rPh>
    <phoneticPr fontId="5"/>
  </si>
  <si>
    <t>テスト計画</t>
    <rPh sb="3" eb="5">
      <t>ケイカク</t>
    </rPh>
    <phoneticPr fontId="2"/>
  </si>
  <si>
    <t>テストケース</t>
    <phoneticPr fontId="46"/>
  </si>
  <si>
    <t>スケジュール</t>
    <phoneticPr fontId="2"/>
  </si>
  <si>
    <t xml:space="preserve">・項目の追加や変更がある場合、登録・更新処理のケースが含まれているか確認
</t>
    <rPh sb="1" eb="3">
      <t>コウモク</t>
    </rPh>
    <rPh sb="4" eb="6">
      <t>ツイカ</t>
    </rPh>
    <rPh sb="7" eb="9">
      <t>ヘンコウ</t>
    </rPh>
    <rPh sb="12" eb="14">
      <t>バアイ</t>
    </rPh>
    <rPh sb="20" eb="22">
      <t>ショリ</t>
    </rPh>
    <rPh sb="27" eb="28">
      <t>フク</t>
    </rPh>
    <rPh sb="34" eb="36">
      <t>カクニン</t>
    </rPh>
    <phoneticPr fontId="5"/>
  </si>
  <si>
    <t>過去データ削除</t>
    <rPh sb="0" eb="2">
      <t>カコ</t>
    </rPh>
    <rPh sb="5" eb="7">
      <t>サクジョ</t>
    </rPh>
    <phoneticPr fontId="5"/>
  </si>
  <si>
    <t xml:space="preserve">・導入検討資料の過去データ削除対象年限を越えたものが削除されていることの確認
・導入検討資料の過去データ削除対象年限内のデータが削除されないことの確認
※【新規導入の場合】
</t>
    <rPh sb="1" eb="3">
      <t>ドウニュウ</t>
    </rPh>
    <rPh sb="3" eb="5">
      <t>ケントウ</t>
    </rPh>
    <rPh sb="5" eb="7">
      <t>シリョウ</t>
    </rPh>
    <rPh sb="8" eb="10">
      <t>カコ</t>
    </rPh>
    <rPh sb="13" eb="15">
      <t>サクジョ</t>
    </rPh>
    <rPh sb="15" eb="17">
      <t>タイショウ</t>
    </rPh>
    <rPh sb="17" eb="19">
      <t>ネンゲン</t>
    </rPh>
    <rPh sb="20" eb="21">
      <t>コ</t>
    </rPh>
    <rPh sb="26" eb="28">
      <t>サクジョ</t>
    </rPh>
    <phoneticPr fontId="5"/>
  </si>
  <si>
    <t>過去データ削除処理において削除期間の設定変更を行う際は、変更対象テーブルに複数の削除条件が存在しないかを確認し、それぞれの削除対象年限について確認
例）すべてのデータを削除対象外としたいが、
　　　A or Bの条件があり、Aのみ確認したがBの確認を行っておらず、Bの修正漏れに気付かなかった　等</t>
    <rPh sb="0" eb="2">
      <t>カコ</t>
    </rPh>
    <rPh sb="5" eb="7">
      <t>サクジョ</t>
    </rPh>
    <rPh sb="7" eb="9">
      <t>ショリ</t>
    </rPh>
    <rPh sb="13" eb="17">
      <t>サクジョキカン</t>
    </rPh>
    <rPh sb="18" eb="22">
      <t>セッテイヘンコウ</t>
    </rPh>
    <rPh sb="23" eb="24">
      <t>オコナ</t>
    </rPh>
    <rPh sb="25" eb="26">
      <t>サイ</t>
    </rPh>
    <rPh sb="74" eb="75">
      <t>レイ</t>
    </rPh>
    <rPh sb="84" eb="89">
      <t>サクジョタイショウガイ</t>
    </rPh>
    <rPh sb="106" eb="108">
      <t>ジョウケン</t>
    </rPh>
    <rPh sb="115" eb="117">
      <t>カクニン</t>
    </rPh>
    <rPh sb="122" eb="124">
      <t>カクニン</t>
    </rPh>
    <rPh sb="125" eb="126">
      <t>オコナ</t>
    </rPh>
    <rPh sb="134" eb="136">
      <t>シュウセイ</t>
    </rPh>
    <rPh sb="136" eb="137">
      <t>モ</t>
    </rPh>
    <rPh sb="139" eb="141">
      <t>キヅ</t>
    </rPh>
    <rPh sb="147" eb="148">
      <t>トウ</t>
    </rPh>
    <phoneticPr fontId="21"/>
  </si>
  <si>
    <t xml:space="preserve">・全バッチ処理を実行し（空回し不可）、本案件での修正範囲について、バッチ実行後の状態が正しいことを確認
</t>
    <rPh sb="49" eb="51">
      <t>カクニン</t>
    </rPh>
    <phoneticPr fontId="5"/>
  </si>
  <si>
    <t>ジョブスケジューラー(サーバ更改対応時)</t>
    <rPh sb="14" eb="16">
      <t>コウカイ</t>
    </rPh>
    <rPh sb="16" eb="18">
      <t>タイオウ</t>
    </rPh>
    <rPh sb="18" eb="19">
      <t>ジ</t>
    </rPh>
    <phoneticPr fontId="2"/>
  </si>
  <si>
    <t xml:space="preserve">・新旧環境でバッチの実行結果および実行内容（主要テーブルの値やレコード数など）が一致することを確認
・直近期に本番機で取り込んだ日次および月次のIFファイルを使用する
・対応銀行の夜間バッチの構成が日次と月次で1つのジョブの場合、分かれている場合どちらも日次と月次併せて一連で実行し、実行結果が完全一致することを確認
</t>
    <rPh sb="47" eb="49">
      <t>カクニン</t>
    </rPh>
    <rPh sb="80" eb="81">
      <t>ヨウ</t>
    </rPh>
    <rPh sb="85" eb="87">
      <t>タイオウ</t>
    </rPh>
    <rPh sb="87" eb="89">
      <t>ギンコウ</t>
    </rPh>
    <rPh sb="90" eb="92">
      <t>ヤカン</t>
    </rPh>
    <rPh sb="96" eb="98">
      <t>コウセイ</t>
    </rPh>
    <rPh sb="99" eb="101">
      <t>ニチジ</t>
    </rPh>
    <rPh sb="102" eb="104">
      <t>ゲツジ</t>
    </rPh>
    <rPh sb="112" eb="114">
      <t>バアイ</t>
    </rPh>
    <rPh sb="115" eb="116">
      <t>ワ</t>
    </rPh>
    <rPh sb="121" eb="123">
      <t>バアイ</t>
    </rPh>
    <rPh sb="127" eb="129">
      <t>ニチジ</t>
    </rPh>
    <rPh sb="130" eb="132">
      <t>ゲツジ</t>
    </rPh>
    <rPh sb="132" eb="133">
      <t>アワ</t>
    </rPh>
    <rPh sb="135" eb="137">
      <t>イチレン</t>
    </rPh>
    <rPh sb="138" eb="140">
      <t>ジッコウ</t>
    </rPh>
    <rPh sb="147" eb="149">
      <t>カンゼン</t>
    </rPh>
    <rPh sb="149" eb="151">
      <t>イッチ</t>
    </rPh>
    <phoneticPr fontId="2"/>
  </si>
  <si>
    <t>想定していなかった障害を検知することができない。</t>
    <phoneticPr fontId="46"/>
  </si>
  <si>
    <t>ログ確認</t>
    <rPh sb="2" eb="4">
      <t>カクニン</t>
    </rPh>
    <phoneticPr fontId="2"/>
  </si>
  <si>
    <t xml:space="preserve">・exe.logの確認がケースに含まれているか確認
※三島信用金庫の統合DBの場合、extra.logの確認も必要
</t>
    <rPh sb="9" eb="11">
      <t>カクニン</t>
    </rPh>
    <rPh sb="16" eb="17">
      <t>フク</t>
    </rPh>
    <rPh sb="27" eb="29">
      <t>ミシマ</t>
    </rPh>
    <rPh sb="29" eb="31">
      <t>シンヨウ</t>
    </rPh>
    <rPh sb="31" eb="33">
      <t>キンコ</t>
    </rPh>
    <rPh sb="34" eb="36">
      <t>トウゴウ</t>
    </rPh>
    <rPh sb="39" eb="41">
      <t>バアイ</t>
    </rPh>
    <rPh sb="52" eb="54">
      <t>カクニン</t>
    </rPh>
    <rPh sb="55" eb="57">
      <t>ヒツヨウ</t>
    </rPh>
    <phoneticPr fontId="5"/>
  </si>
  <si>
    <t>想定していなかった障害を検知することができない。</t>
    <rPh sb="0" eb="2">
      <t>ソウテイ</t>
    </rPh>
    <rPh sb="9" eb="11">
      <t>ショウガイ</t>
    </rPh>
    <rPh sb="12" eb="14">
      <t>ケンチ</t>
    </rPh>
    <phoneticPr fontId="2"/>
  </si>
  <si>
    <t xml:space="preserve">・新規にジョブやステップが追加となる場合、エラーケースが含まれているか確認
</t>
    <rPh sb="1" eb="3">
      <t>シンキ</t>
    </rPh>
    <rPh sb="13" eb="15">
      <t>ツイカ</t>
    </rPh>
    <rPh sb="18" eb="20">
      <t>バアイ</t>
    </rPh>
    <rPh sb="28" eb="29">
      <t>フク</t>
    </rPh>
    <rPh sb="35" eb="37">
      <t>カクニン</t>
    </rPh>
    <phoneticPr fontId="5"/>
  </si>
  <si>
    <t>無影響確認</t>
    <rPh sb="0" eb="1">
      <t>ム</t>
    </rPh>
    <rPh sb="1" eb="3">
      <t>エイキョウ</t>
    </rPh>
    <rPh sb="3" eb="5">
      <t>カクニン</t>
    </rPh>
    <phoneticPr fontId="46"/>
  </si>
  <si>
    <t>・夜間バッチ処理のファイル作成処理が2回以上実行</t>
    <phoneticPr fontId="46"/>
  </si>
  <si>
    <t>ファイルが存在していた場合、エラーになる可能性がある</t>
    <rPh sb="5" eb="7">
      <t>ソンザイ</t>
    </rPh>
    <rPh sb="11" eb="13">
      <t>バアイ</t>
    </rPh>
    <rPh sb="20" eb="23">
      <t>カノウセイ</t>
    </rPh>
    <phoneticPr fontId="46"/>
  </si>
  <si>
    <t>業務別(格付・自己査定)</t>
    <rPh sb="0" eb="2">
      <t>ギョウム</t>
    </rPh>
    <rPh sb="2" eb="3">
      <t>ベツ</t>
    </rPh>
    <phoneticPr fontId="2"/>
  </si>
  <si>
    <t>格付ランクの判定</t>
    <rPh sb="0" eb="1">
      <t>カク</t>
    </rPh>
    <rPh sb="1" eb="2">
      <t>ヅ</t>
    </rPh>
    <rPh sb="6" eb="8">
      <t>ハンテイ</t>
    </rPh>
    <phoneticPr fontId="2"/>
  </si>
  <si>
    <t xml:space="preserve">・格付ランクにかかわる判定などが追加、変更されている場合、画面より手動で付与する格付ランク（ラージ格）だけではなく、夜間バッチ処理で自動付与する格付ランク（スモール格、簡易格付）のテストケースまで含まれているか確認
</t>
    <phoneticPr fontId="5"/>
  </si>
  <si>
    <t>本番運用を想定した検証が実施できていないため、受入にて担保すべき品質が確保できない。</t>
    <rPh sb="0" eb="2">
      <t>ホンバン</t>
    </rPh>
    <rPh sb="2" eb="4">
      <t>ウンヨウ</t>
    </rPh>
    <rPh sb="5" eb="7">
      <t>ソウテイ</t>
    </rPh>
    <rPh sb="9" eb="11">
      <t>ケンショウ</t>
    </rPh>
    <rPh sb="12" eb="14">
      <t>ジッシ</t>
    </rPh>
    <rPh sb="23" eb="25">
      <t>ウケイレ</t>
    </rPh>
    <phoneticPr fontId="2"/>
  </si>
  <si>
    <t>業務別(システム)</t>
    <phoneticPr fontId="2"/>
  </si>
  <si>
    <t>ファイル作成</t>
    <rPh sb="4" eb="6">
      <t>サクセイ</t>
    </rPh>
    <phoneticPr fontId="2"/>
  </si>
  <si>
    <t xml:space="preserve">・ファイル作成リスト対象テーブルのカラムが追加されている場合、対象カラムのデータが出力されていることを確認
</t>
    <rPh sb="10" eb="12">
      <t>タイショウ</t>
    </rPh>
    <rPh sb="21" eb="23">
      <t>ツイカ</t>
    </rPh>
    <rPh sb="28" eb="30">
      <t>バアイ</t>
    </rPh>
    <phoneticPr fontId="5"/>
  </si>
  <si>
    <t>無影響確認テスト</t>
  </si>
  <si>
    <t>格付・自己査定</t>
  </si>
  <si>
    <t xml:space="preserve">・格付付与対象先が変更となった場合、債務者区分が付与（イベント計上）されているか確認
※【格付・自己査定のみ】
</t>
    <rPh sb="1" eb="2">
      <t>カク</t>
    </rPh>
    <rPh sb="2" eb="3">
      <t>ヅ</t>
    </rPh>
    <rPh sb="3" eb="5">
      <t>フヨ</t>
    </rPh>
    <rPh sb="5" eb="7">
      <t>タイショウ</t>
    </rPh>
    <rPh sb="7" eb="8">
      <t>サキ</t>
    </rPh>
    <rPh sb="9" eb="11">
      <t>ヘンコウ</t>
    </rPh>
    <rPh sb="15" eb="17">
      <t>バアイ</t>
    </rPh>
    <rPh sb="18" eb="21">
      <t>サイムシャ</t>
    </rPh>
    <rPh sb="21" eb="23">
      <t>クブン</t>
    </rPh>
    <rPh sb="24" eb="26">
      <t>フヨ</t>
    </rPh>
    <rPh sb="31" eb="33">
      <t>ケイジョウ</t>
    </rPh>
    <rPh sb="40" eb="42">
      <t>カクニン</t>
    </rPh>
    <phoneticPr fontId="5"/>
  </si>
  <si>
    <t xml:space="preserve">・イベント計上に関わる修正がされている場合、計上後にワークフロー処理を実施するテストケースが含まれているか確認
</t>
    <rPh sb="5" eb="7">
      <t>ケイジョウ</t>
    </rPh>
    <rPh sb="8" eb="9">
      <t>カカ</t>
    </rPh>
    <rPh sb="11" eb="13">
      <t>シュウセイ</t>
    </rPh>
    <rPh sb="19" eb="21">
      <t>バアイ</t>
    </rPh>
    <rPh sb="22" eb="24">
      <t>ケイジョウ</t>
    </rPh>
    <rPh sb="24" eb="25">
      <t>ゴ</t>
    </rPh>
    <rPh sb="32" eb="34">
      <t>ショリ</t>
    </rPh>
    <rPh sb="35" eb="37">
      <t>ジッシ</t>
    </rPh>
    <rPh sb="46" eb="47">
      <t>フク</t>
    </rPh>
    <phoneticPr fontId="5"/>
  </si>
  <si>
    <t>電子稟議</t>
    <rPh sb="0" eb="2">
      <t>デンシ</t>
    </rPh>
    <rPh sb="2" eb="4">
      <t>リンギ</t>
    </rPh>
    <phoneticPr fontId="2"/>
  </si>
  <si>
    <t xml:space="preserve">・稟議起票に関わる修正(ホストチェック等)がされている場合、起票後にワークフロー処理を実施するテストケースが含まれているか確認
</t>
    <rPh sb="1" eb="3">
      <t>リンギ</t>
    </rPh>
    <rPh sb="3" eb="5">
      <t>キヒョウ</t>
    </rPh>
    <rPh sb="6" eb="7">
      <t>カカ</t>
    </rPh>
    <rPh sb="9" eb="11">
      <t>シュウセイ</t>
    </rPh>
    <rPh sb="19" eb="20">
      <t>ナド</t>
    </rPh>
    <rPh sb="27" eb="29">
      <t>バアイ</t>
    </rPh>
    <rPh sb="32" eb="33">
      <t>ゴ</t>
    </rPh>
    <rPh sb="40" eb="42">
      <t>ショリ</t>
    </rPh>
    <rPh sb="43" eb="45">
      <t>ジッシ</t>
    </rPh>
    <rPh sb="54" eb="55">
      <t>フク</t>
    </rPh>
    <phoneticPr fontId="5"/>
  </si>
  <si>
    <t>他システム・モジュール連携</t>
    <rPh sb="0" eb="1">
      <t>タ</t>
    </rPh>
    <rPh sb="11" eb="13">
      <t>レンケイ</t>
    </rPh>
    <phoneticPr fontId="5"/>
  </si>
  <si>
    <t xml:space="preserve">・他システム連携に係る変更を行う場合、全てのアウトプットファイル（修正対象機能以外のプログラムから出力されたものも含む）を対象として、新旧比較検証が実施されているか確認
※【東邦銀行のみ】
</t>
    <rPh sb="16" eb="18">
      <t>バアイ</t>
    </rPh>
    <rPh sb="57" eb="58">
      <t>フク</t>
    </rPh>
    <rPh sb="82" eb="84">
      <t>カクニン</t>
    </rPh>
    <phoneticPr fontId="5"/>
  </si>
  <si>
    <t xml:space="preserve">・CARMサーバを構築し、CARMモジュールを実行した確認を行う
※【CARM連携している顧客のみ】
</t>
    <rPh sb="9" eb="11">
      <t>コウチク</t>
    </rPh>
    <phoneticPr fontId="5"/>
  </si>
  <si>
    <t xml:space="preserve">・実モジュールを実行した確認を行う
※【他ベンダー実行モジュールと連携している顧客のみ】
</t>
    <rPh sb="20" eb="21">
      <t>タ</t>
    </rPh>
    <rPh sb="25" eb="27">
      <t>ジッコウ</t>
    </rPh>
    <phoneticPr fontId="5"/>
  </si>
  <si>
    <t>既存データ運用</t>
    <rPh sb="0" eb="2">
      <t>キゾン</t>
    </rPh>
    <rPh sb="5" eb="7">
      <t>ウンヨウ</t>
    </rPh>
    <phoneticPr fontId="5"/>
  </si>
  <si>
    <t xml:space="preserve">・データ移行要否に関わらず、既存機能での運用データをもとに、新機能のテストを実施するケースが盛り込まれていること
・既存データ運用に関し、カスタマイズ概要書に記載のあるケースがすべて盛り込まれていること
※【既存顧客へのレベルアップ案件の場合】
</t>
    <phoneticPr fontId="5"/>
  </si>
  <si>
    <t>全画面打鍵</t>
    <rPh sb="0" eb="3">
      <t>ゼンガメン</t>
    </rPh>
    <rPh sb="3" eb="5">
      <t>ダケン</t>
    </rPh>
    <phoneticPr fontId="5"/>
  </si>
  <si>
    <t xml:space="preserve">・全コンパイルを実施した際は、全画面打鍵の実施がテストケースに含まれていることを確認
・全画面打鍵を実施する際は、SVN上に管理されている全画面打鍵仕様書が最新であることを確認した上で使用する
※全画面仕様書名：全画面・帳票確認チェックリスト（XX銀行）.xls
</t>
    <rPh sb="21" eb="23">
      <t>ジッシ</t>
    </rPh>
    <rPh sb="31" eb="32">
      <t>フク</t>
    </rPh>
    <rPh sb="40" eb="42">
      <t>カクニン</t>
    </rPh>
    <rPh sb="90" eb="91">
      <t>ウエ</t>
    </rPh>
    <rPh sb="92" eb="94">
      <t>シヨウ</t>
    </rPh>
    <rPh sb="104" eb="105">
      <t>メイ</t>
    </rPh>
    <phoneticPr fontId="5"/>
  </si>
  <si>
    <t>全画面、全帳票の検証がもれる可能性がある</t>
    <rPh sb="0" eb="3">
      <t>ゼンガメン</t>
    </rPh>
    <rPh sb="4" eb="5">
      <t>ゼン</t>
    </rPh>
    <rPh sb="5" eb="7">
      <t>チョウヒョウ</t>
    </rPh>
    <rPh sb="14" eb="17">
      <t>カノウセイ</t>
    </rPh>
    <phoneticPr fontId="2"/>
  </si>
  <si>
    <t>対応漏れ確認</t>
    <rPh sb="0" eb="3">
      <t>タイオウモ</t>
    </rPh>
    <rPh sb="4" eb="6">
      <t>カクニン</t>
    </rPh>
    <phoneticPr fontId="46"/>
  </si>
  <si>
    <t>全般</t>
    <rPh sb="0" eb="2">
      <t>ゼンパン</t>
    </rPh>
    <phoneticPr fontId="46"/>
  </si>
  <si>
    <t xml:space="preserve">・テストケースとして、修正対象となるすべての画面・帳票・バッチについて正常系テストが設定されているか確認。
（たとえば、同一機能の修正内容であっても、複数画面を実際に修正した場合は、それぞれの画面で確認する）
</t>
    <rPh sb="11" eb="13">
      <t>シュウセイ</t>
    </rPh>
    <rPh sb="13" eb="15">
      <t>タイショウ</t>
    </rPh>
    <rPh sb="22" eb="24">
      <t>ガメン</t>
    </rPh>
    <rPh sb="25" eb="27">
      <t>チョウヒョウ</t>
    </rPh>
    <rPh sb="35" eb="37">
      <t>セイジョウ</t>
    </rPh>
    <rPh sb="37" eb="38">
      <t>ケイ</t>
    </rPh>
    <rPh sb="42" eb="44">
      <t>セッテイ</t>
    </rPh>
    <rPh sb="50" eb="52">
      <t>カクニン</t>
    </rPh>
    <rPh sb="60" eb="62">
      <t>ドウイツ</t>
    </rPh>
    <rPh sb="62" eb="64">
      <t>キノウ</t>
    </rPh>
    <rPh sb="65" eb="67">
      <t>シュウセイ</t>
    </rPh>
    <rPh sb="67" eb="69">
      <t>ナイヨウ</t>
    </rPh>
    <rPh sb="75" eb="77">
      <t>フクスウ</t>
    </rPh>
    <rPh sb="77" eb="79">
      <t>ガメン</t>
    </rPh>
    <rPh sb="80" eb="82">
      <t>ジッサイ</t>
    </rPh>
    <rPh sb="83" eb="85">
      <t>シュウセイ</t>
    </rPh>
    <rPh sb="87" eb="89">
      <t>バアイ</t>
    </rPh>
    <rPh sb="96" eb="98">
      <t>ガメン</t>
    </rPh>
    <rPh sb="99" eb="101">
      <t>カクニン</t>
    </rPh>
    <phoneticPr fontId="5"/>
  </si>
  <si>
    <t>基本条件画面</t>
    <rPh sb="0" eb="2">
      <t>キホン</t>
    </rPh>
    <rPh sb="2" eb="4">
      <t>ジョウケン</t>
    </rPh>
    <rPh sb="4" eb="6">
      <t>ガメン</t>
    </rPh>
    <phoneticPr fontId="2"/>
  </si>
  <si>
    <t xml:space="preserve">・基本条件画面に関するる変更の場合、融資稟議の基本条件、条件変更の基本条件、汎用稟議の基本条件のテストケースが含まれているか確認
・合わせて案件概要画面のテストケースが必要ないかも確認
</t>
    <rPh sb="1" eb="3">
      <t>キホン</t>
    </rPh>
    <rPh sb="3" eb="5">
      <t>ジョウケン</t>
    </rPh>
    <rPh sb="5" eb="7">
      <t>ガメン</t>
    </rPh>
    <rPh sb="8" eb="9">
      <t>カン</t>
    </rPh>
    <rPh sb="12" eb="14">
      <t>ヘンコウ</t>
    </rPh>
    <rPh sb="15" eb="17">
      <t>バアイ</t>
    </rPh>
    <rPh sb="18" eb="20">
      <t>ユウシ</t>
    </rPh>
    <rPh sb="20" eb="22">
      <t>リンギ</t>
    </rPh>
    <rPh sb="23" eb="25">
      <t>キホン</t>
    </rPh>
    <rPh sb="25" eb="27">
      <t>ジョウケン</t>
    </rPh>
    <rPh sb="28" eb="30">
      <t>ジョウケン</t>
    </rPh>
    <rPh sb="30" eb="32">
      <t>ヘンコウ</t>
    </rPh>
    <rPh sb="38" eb="40">
      <t>ハンヨウ</t>
    </rPh>
    <rPh sb="40" eb="42">
      <t>リンギ</t>
    </rPh>
    <rPh sb="55" eb="56">
      <t>フク</t>
    </rPh>
    <rPh sb="62" eb="64">
      <t>カクニン</t>
    </rPh>
    <rPh sb="66" eb="67">
      <t>ア</t>
    </rPh>
    <rPh sb="70" eb="71">
      <t>アン</t>
    </rPh>
    <rPh sb="71" eb="72">
      <t>ケン</t>
    </rPh>
    <rPh sb="72" eb="74">
      <t>ガイヨウ</t>
    </rPh>
    <rPh sb="74" eb="76">
      <t>ガメン</t>
    </rPh>
    <rPh sb="84" eb="86">
      <t>ヒツヨウ</t>
    </rPh>
    <rPh sb="90" eb="92">
      <t>カクニン</t>
    </rPh>
    <phoneticPr fontId="46"/>
  </si>
  <si>
    <t>1-18</t>
  </si>
  <si>
    <t>1-19</t>
  </si>
  <si>
    <t>1-20</t>
  </si>
  <si>
    <t>1-21</t>
  </si>
  <si>
    <t>1-22</t>
  </si>
  <si>
    <t>案件番号</t>
    <rPh sb="0" eb="2">
      <t>アンケン</t>
    </rPh>
    <rPh sb="2" eb="4">
      <t>バンゴウ</t>
    </rPh>
    <phoneticPr fontId="2"/>
  </si>
  <si>
    <t>案件名</t>
    <rPh sb="0" eb="2">
      <t>アンケン</t>
    </rPh>
    <rPh sb="2" eb="3">
      <t>メイ</t>
    </rPh>
    <phoneticPr fontId="2"/>
  </si>
  <si>
    <t>再鑑</t>
    <rPh sb="0" eb="2">
      <t>サイカン</t>
    </rPh>
    <phoneticPr fontId="2"/>
  </si>
  <si>
    <t>調査結果</t>
    <rPh sb="0" eb="2">
      <t>チョウサ</t>
    </rPh>
    <rPh sb="2" eb="4">
      <t>ケッカ</t>
    </rPh>
    <phoneticPr fontId="2"/>
  </si>
  <si>
    <t>ワーニング・エラーメッセージ</t>
    <phoneticPr fontId="2"/>
  </si>
  <si>
    <t xml:space="preserve">・ワーニング・エラーメッセージIDを確認し、該当メッセージが出力される条件を調査する。
</t>
    <rPh sb="18" eb="20">
      <t>カクニン</t>
    </rPh>
    <rPh sb="22" eb="24">
      <t>ガイトウ</t>
    </rPh>
    <rPh sb="30" eb="32">
      <t>シュツリョク</t>
    </rPh>
    <rPh sb="35" eb="37">
      <t>ジョウケン</t>
    </rPh>
    <rPh sb="38" eb="40">
      <t>チョウサ</t>
    </rPh>
    <phoneticPr fontId="2"/>
  </si>
  <si>
    <t>システムエラー</t>
    <phoneticPr fontId="2"/>
  </si>
  <si>
    <t xml:space="preserve">・システムエラーが発生した画面、時間帯を確認する。
・web.logから該当時間帯に出力されているログの内容を確認する。
・出力されているログの内容からシステムエラーの原因を調査する。
</t>
    <rPh sb="9" eb="11">
      <t>ハッセイ</t>
    </rPh>
    <rPh sb="13" eb="15">
      <t>ガメン</t>
    </rPh>
    <rPh sb="16" eb="19">
      <t>ジカンタイ</t>
    </rPh>
    <rPh sb="20" eb="22">
      <t>カクニン</t>
    </rPh>
    <rPh sb="36" eb="38">
      <t>ガイトウ</t>
    </rPh>
    <rPh sb="38" eb="41">
      <t>ジカンタイ</t>
    </rPh>
    <rPh sb="42" eb="44">
      <t>シュツリョク</t>
    </rPh>
    <rPh sb="52" eb="54">
      <t>ナイヨウ</t>
    </rPh>
    <rPh sb="55" eb="57">
      <t>カクニン</t>
    </rPh>
    <rPh sb="62" eb="64">
      <t>シュツリョク</t>
    </rPh>
    <rPh sb="72" eb="74">
      <t>ナイヨウ</t>
    </rPh>
    <rPh sb="84" eb="86">
      <t>ゲンイン</t>
    </rPh>
    <rPh sb="87" eb="89">
      <t>チョウサ</t>
    </rPh>
    <phoneticPr fontId="2"/>
  </si>
  <si>
    <t>レスポンス</t>
    <phoneticPr fontId="2"/>
  </si>
  <si>
    <t xml:space="preserve">・システム全体のレスポンスが悪いのか、特定画面のレスポンスが悪いのかを確認する。
・大量データのファイル作成を行っていないか。APサーバのexe.logの確認、dts.logの確認。
・Enterキーによる大量のGET/POST送信を行っていないか。
　⇒IIS.logに同画面のGET/POSTのログが大量に出力されているか。
　⇒セキュリティログに同一SPのログが大量に出力されているか。
</t>
    <rPh sb="5" eb="7">
      <t>ゼンタイ</t>
    </rPh>
    <rPh sb="14" eb="15">
      <t>ワル</t>
    </rPh>
    <rPh sb="19" eb="21">
      <t>トクテイ</t>
    </rPh>
    <rPh sb="21" eb="23">
      <t>ガメン</t>
    </rPh>
    <rPh sb="30" eb="31">
      <t>ワル</t>
    </rPh>
    <rPh sb="35" eb="37">
      <t>カクニン</t>
    </rPh>
    <rPh sb="42" eb="44">
      <t>タイリョウ</t>
    </rPh>
    <rPh sb="52" eb="54">
      <t>サクセイ</t>
    </rPh>
    <rPh sb="55" eb="56">
      <t>オコナ</t>
    </rPh>
    <rPh sb="77" eb="79">
      <t>カクニン</t>
    </rPh>
    <rPh sb="88" eb="90">
      <t>カクニン</t>
    </rPh>
    <rPh sb="103" eb="105">
      <t>タイリョウ</t>
    </rPh>
    <rPh sb="114" eb="116">
      <t>ソウシン</t>
    </rPh>
    <rPh sb="117" eb="118">
      <t>オコナ</t>
    </rPh>
    <rPh sb="136" eb="137">
      <t>ドウ</t>
    </rPh>
    <rPh sb="137" eb="139">
      <t>ガメン</t>
    </rPh>
    <rPh sb="152" eb="154">
      <t>タイリョウ</t>
    </rPh>
    <rPh sb="155" eb="157">
      <t>シュツリョク</t>
    </rPh>
    <rPh sb="176" eb="178">
      <t>ドウイツ</t>
    </rPh>
    <rPh sb="184" eb="186">
      <t>タイリョウ</t>
    </rPh>
    <rPh sb="187" eb="189">
      <t>シュツリョク</t>
    </rPh>
    <phoneticPr fontId="2"/>
  </si>
  <si>
    <t>追加資料</t>
    <rPh sb="0" eb="2">
      <t>ツイカ</t>
    </rPh>
    <rPh sb="2" eb="4">
      <t>シリョウ</t>
    </rPh>
    <phoneticPr fontId="2"/>
  </si>
  <si>
    <t xml:space="preserve">・追加資料画面にて添付資料が登録できない。
　⇒4MB以上のファイルでないか。
・追加資料画面にて添付資料のダウンロードができない。
　⇒一時保存時の文字コード変換されたファイル名が長過ぎないか。
</t>
    <rPh sb="1" eb="3">
      <t>ツイカ</t>
    </rPh>
    <rPh sb="3" eb="5">
      <t>シリョウ</t>
    </rPh>
    <rPh sb="5" eb="7">
      <t>ガメン</t>
    </rPh>
    <rPh sb="9" eb="11">
      <t>テンプ</t>
    </rPh>
    <rPh sb="11" eb="13">
      <t>シリョウ</t>
    </rPh>
    <rPh sb="14" eb="16">
      <t>トウロク</t>
    </rPh>
    <rPh sb="27" eb="29">
      <t>イジョウ</t>
    </rPh>
    <rPh sb="41" eb="43">
      <t>ツイカ</t>
    </rPh>
    <rPh sb="43" eb="45">
      <t>シリョウ</t>
    </rPh>
    <rPh sb="45" eb="47">
      <t>ガメン</t>
    </rPh>
    <rPh sb="49" eb="51">
      <t>テンプ</t>
    </rPh>
    <rPh sb="51" eb="53">
      <t>シリョウ</t>
    </rPh>
    <rPh sb="69" eb="71">
      <t>イチジ</t>
    </rPh>
    <rPh sb="71" eb="73">
      <t>ホゾン</t>
    </rPh>
    <rPh sb="73" eb="74">
      <t>ジ</t>
    </rPh>
    <rPh sb="75" eb="77">
      <t>モジ</t>
    </rPh>
    <rPh sb="80" eb="82">
      <t>ヘンカン</t>
    </rPh>
    <rPh sb="89" eb="90">
      <t>メイ</t>
    </rPh>
    <rPh sb="91" eb="93">
      <t>ナガス</t>
    </rPh>
    <phoneticPr fontId="2"/>
  </si>
  <si>
    <t>夜間バッチ処理</t>
    <rPh sb="0" eb="2">
      <t>ヤカン</t>
    </rPh>
    <rPh sb="5" eb="7">
      <t>ショリ</t>
    </rPh>
    <phoneticPr fontId="2"/>
  </si>
  <si>
    <t>ステップ</t>
    <phoneticPr fontId="2"/>
  </si>
  <si>
    <t xml:space="preserve">・エラーとなったステップを確認する。
・エラーとなったステップの後続ステップの確認を行う。
</t>
    <rPh sb="13" eb="15">
      <t>カクニン</t>
    </rPh>
    <rPh sb="32" eb="34">
      <t>コウゾク</t>
    </rPh>
    <rPh sb="39" eb="41">
      <t>カクニン</t>
    </rPh>
    <rPh sb="42" eb="43">
      <t>オコナ</t>
    </rPh>
    <phoneticPr fontId="2"/>
  </si>
  <si>
    <t>ジョブ名</t>
    <rPh sb="3" eb="4">
      <t>メイ</t>
    </rPh>
    <phoneticPr fontId="2"/>
  </si>
  <si>
    <t>関連インターフェース名</t>
    <rPh sb="0" eb="2">
      <t>カンレン</t>
    </rPh>
    <rPh sb="10" eb="11">
      <t>メイ</t>
    </rPh>
    <phoneticPr fontId="2"/>
  </si>
  <si>
    <t>確認事項</t>
    <rPh sb="0" eb="2">
      <t>カクニン</t>
    </rPh>
    <rPh sb="2" eb="4">
      <t>ジコウ</t>
    </rPh>
    <phoneticPr fontId="2"/>
  </si>
  <si>
    <t>RS連携</t>
    <phoneticPr fontId="2"/>
  </si>
  <si>
    <r>
      <t xml:space="preserve">ikan.csv
customerday.csv
</t>
    </r>
    <r>
      <rPr>
        <strike/>
        <sz val="11"/>
        <color indexed="10"/>
        <rFont val="Meiryo UI"/>
        <family val="3"/>
        <charset val="128"/>
      </rPr>
      <t>nayose.csv</t>
    </r>
    <r>
      <rPr>
        <sz val="11"/>
        <color indexed="8"/>
        <rFont val="Meiryo UI"/>
        <family val="3"/>
        <charset val="128"/>
      </rPr>
      <t xml:space="preserve">
businesscustomerman.csv
securitydaily.csv
securitybilldaily.csv
securityrealestatedaily.csv
RegisterExecLog.csv
claimdaily.csv
kyokudo.csv
yokinmeisaidaily.csv
heizan.csv
finance.csv
CustomerdayIdv.csv
Hansｈablack.csv</t>
    </r>
    <phoneticPr fontId="2"/>
  </si>
  <si>
    <t>RS連携にてエラーが発生した場合は、各ファイルのデータが作成されていることを確認する。
Hansｈablack.csvについては、反社フラグの値も確認する。</t>
    <rPh sb="2" eb="4">
      <t>レンケイ</t>
    </rPh>
    <rPh sb="10" eb="12">
      <t>ハッセイ</t>
    </rPh>
    <rPh sb="14" eb="16">
      <t>バアイ</t>
    </rPh>
    <rPh sb="18" eb="19">
      <t>カク</t>
    </rPh>
    <rPh sb="28" eb="30">
      <t>サクセイ</t>
    </rPh>
    <rPh sb="38" eb="40">
      <t>カクニン</t>
    </rPh>
    <rPh sb="65" eb="66">
      <t>ハン</t>
    </rPh>
    <rPh sb="66" eb="67">
      <t>シャ</t>
    </rPh>
    <rPh sb="71" eb="72">
      <t>アタイ</t>
    </rPh>
    <rPh sb="73" eb="75">
      <t>カクニン</t>
    </rPh>
    <phoneticPr fontId="2"/>
  </si>
  <si>
    <t>情報企画連携</t>
    <phoneticPr fontId="2"/>
  </si>
  <si>
    <t>Kakuduke.csv
Customer_CR.csv
SaimusyaKbn.csv
FinStrategy.csv
FinStrategyCmnt.csv</t>
    <phoneticPr fontId="2"/>
  </si>
  <si>
    <t>情報企画連携にてエラーが発生した場合は、各ファイルのデータが作成されていることを確認する。</t>
    <phoneticPr fontId="2"/>
  </si>
  <si>
    <t>特殊情報連携</t>
    <phoneticPr fontId="2"/>
  </si>
  <si>
    <t>Hansｈablack.csv</t>
    <phoneticPr fontId="2"/>
  </si>
  <si>
    <t>特殊情報連携にてエラーが発生した場合は、ファイルのデータが作成されていることを確認する。反社フラグの値も確認する。</t>
    <rPh sb="0" eb="2">
      <t>トクシュ</t>
    </rPh>
    <rPh sb="2" eb="4">
      <t>ジョウホウ</t>
    </rPh>
    <rPh sb="4" eb="6">
      <t>レンケイ</t>
    </rPh>
    <rPh sb="12" eb="14">
      <t>ハッセイ</t>
    </rPh>
    <rPh sb="16" eb="18">
      <t>バアイ</t>
    </rPh>
    <phoneticPr fontId="2"/>
  </si>
  <si>
    <t>BANK・R連携</t>
    <phoneticPr fontId="2"/>
  </si>
  <si>
    <t>BANK・R連携にてエラーが発生した場合は、ファイルのデータが作成されていることを確認する。反社フラグの値も確認する。</t>
    <rPh sb="6" eb="8">
      <t>レンケイ</t>
    </rPh>
    <rPh sb="14" eb="16">
      <t>ハッセイ</t>
    </rPh>
    <rPh sb="18" eb="20">
      <t>バアイ</t>
    </rPh>
    <phoneticPr fontId="2"/>
  </si>
  <si>
    <t>※Hansｈablack.csvについては、「RS連携」「特殊情報連携」「BANK・R連携」からデータ作成を行っている。</t>
    <rPh sb="51" eb="53">
      <t>サクセイ</t>
    </rPh>
    <rPh sb="54" eb="55">
      <t>オコナ</t>
    </rPh>
    <phoneticPr fontId="2"/>
  </si>
  <si>
    <t>担当者</t>
    <rPh sb="0" eb="3">
      <t>タントウシャ</t>
    </rPh>
    <phoneticPr fontId="2"/>
  </si>
  <si>
    <t>確認項目①</t>
    <rPh sb="0" eb="2">
      <t>カクニン</t>
    </rPh>
    <rPh sb="2" eb="4">
      <t>コウモク</t>
    </rPh>
    <phoneticPr fontId="2"/>
  </si>
  <si>
    <t>確認項目②</t>
    <phoneticPr fontId="2"/>
  </si>
  <si>
    <t>1　前提</t>
    <rPh sb="2" eb="4">
      <t>ゼンテイ</t>
    </rPh>
    <phoneticPr fontId="2"/>
  </si>
  <si>
    <t>解像度</t>
    <phoneticPr fontId="2"/>
  </si>
  <si>
    <t>解像度は1280×1024に設定されていること</t>
    <rPh sb="14" eb="16">
      <t>セッテイ</t>
    </rPh>
    <phoneticPr fontId="2"/>
  </si>
  <si>
    <t>互換表示設定</t>
    <phoneticPr fontId="2"/>
  </si>
  <si>
    <t>イントラネット サイトを互換表示で表示するにチェックがされていること</t>
    <rPh sb="12" eb="14">
      <t>ゴカン</t>
    </rPh>
    <rPh sb="14" eb="16">
      <t>ヒョウジ</t>
    </rPh>
    <rPh sb="17" eb="19">
      <t>ヒョウジ</t>
    </rPh>
    <phoneticPr fontId="2"/>
  </si>
  <si>
    <t>インターネットオプションの詳細設定</t>
    <phoneticPr fontId="2"/>
  </si>
  <si>
    <t>スクリプトエラーごとに通知を表示するにチェックがされていること</t>
    <phoneticPr fontId="2"/>
  </si>
  <si>
    <t>セキュリティ設定</t>
    <phoneticPr fontId="2"/>
  </si>
  <si>
    <t>スクリプトを実行しても安全だとマークされていないActiveXコントロールの初期化とスクリプトの実行が有効であること</t>
    <rPh sb="51" eb="53">
      <t>ユウコウ</t>
    </rPh>
    <phoneticPr fontId="2"/>
  </si>
  <si>
    <t>契約書導入金融機関のみ設定を実施する</t>
    <rPh sb="11" eb="13">
      <t>セッテイ</t>
    </rPh>
    <rPh sb="14" eb="16">
      <t>ジッシ</t>
    </rPh>
    <phoneticPr fontId="2"/>
  </si>
  <si>
    <t>2　チェック項目</t>
    <rPh sb="6" eb="8">
      <t>コウモク</t>
    </rPh>
    <phoneticPr fontId="2"/>
  </si>
  <si>
    <t>画面レイアウト</t>
    <rPh sb="0" eb="2">
      <t>ガメン</t>
    </rPh>
    <phoneticPr fontId="2"/>
  </si>
  <si>
    <t>全般</t>
    <phoneticPr fontId="2"/>
  </si>
  <si>
    <t>画面最上部に表示する</t>
    <phoneticPr fontId="2"/>
  </si>
  <si>
    <t>各サブシステム画面へのメニューを表示する</t>
    <rPh sb="0" eb="1">
      <t>カク</t>
    </rPh>
    <rPh sb="7" eb="9">
      <t>ガメン</t>
    </rPh>
    <rPh sb="16" eb="18">
      <t>ヒョウジ</t>
    </rPh>
    <phoneticPr fontId="2"/>
  </si>
  <si>
    <t>ボタン名の見切れなく表示する</t>
    <rPh sb="5" eb="6">
      <t>ケン</t>
    </rPh>
    <rPh sb="6" eb="7">
      <t>ギ</t>
    </rPh>
    <phoneticPr fontId="2"/>
  </si>
  <si>
    <t>罫線</t>
    <phoneticPr fontId="2"/>
  </si>
  <si>
    <t>罫線の途切れやズレなく表示する</t>
    <rPh sb="11" eb="13">
      <t>ヒョウジ</t>
    </rPh>
    <phoneticPr fontId="2"/>
  </si>
  <si>
    <t>項目</t>
    <rPh sb="0" eb="2">
      <t>コウモク</t>
    </rPh>
    <phoneticPr fontId="2"/>
  </si>
  <si>
    <t>項目名の見切れなく表示する</t>
    <rPh sb="0" eb="2">
      <t>コウモク</t>
    </rPh>
    <rPh sb="2" eb="3">
      <t>メイ</t>
    </rPh>
    <phoneticPr fontId="2"/>
  </si>
  <si>
    <r>
      <t>画面サイズを最大限に使用することで横スクロールしない幅で出力されている
(解像度</t>
    </r>
    <r>
      <rPr>
        <b/>
        <sz val="9"/>
        <rFont val="Meiryo UI"/>
        <family val="3"/>
        <charset val="128"/>
      </rPr>
      <t>1280×1024</t>
    </r>
    <r>
      <rPr>
        <sz val="9"/>
        <rFont val="Meiryo UI"/>
        <family val="3"/>
        <charset val="128"/>
      </rPr>
      <t xml:space="preserve">フルスクリーン時)
</t>
    </r>
    <rPh sb="17" eb="18">
      <t>ヨコ</t>
    </rPh>
    <rPh sb="26" eb="27">
      <t>ハバ</t>
    </rPh>
    <rPh sb="28" eb="30">
      <t>シュツリョク</t>
    </rPh>
    <rPh sb="37" eb="40">
      <t>カイゾウド</t>
    </rPh>
    <rPh sb="56" eb="57">
      <t>ジ</t>
    </rPh>
    <phoneticPr fontId="2"/>
  </si>
  <si>
    <t>ノートPCで使用される事を考慮し、1366×768でも操作は可能なレイアウトとすることで、ページのスクロールバー（横、縦）は表示可</t>
    <phoneticPr fontId="2"/>
  </si>
  <si>
    <t>作業エリア画面の両端に多少の幅がある</t>
    <rPh sb="0" eb="2">
      <t>サギョウ</t>
    </rPh>
    <phoneticPr fontId="2"/>
  </si>
  <si>
    <t>縦スクロールは1.5ページ程度まで</t>
    <rPh sb="0" eb="1">
      <t>タテ</t>
    </rPh>
    <rPh sb="13" eb="15">
      <t>テイド</t>
    </rPh>
    <phoneticPr fontId="2"/>
  </si>
  <si>
    <t>プルダウン表示時、プルダウン項目の内容を最後まで表示する</t>
    <phoneticPr fontId="2"/>
  </si>
  <si>
    <t>　メッセージ表示エリア</t>
    <phoneticPr fontId="2"/>
  </si>
  <si>
    <t>メッセージは、コンテンツエリア内の上部に表示する</t>
    <rPh sb="20" eb="22">
      <t>ヒョウジ</t>
    </rPh>
    <phoneticPr fontId="2"/>
  </si>
  <si>
    <t>メッセージ出力エリアにて複数メッセージ出力時、画面崩れなく表示する</t>
    <rPh sb="5" eb="7">
      <t>シュツリョク</t>
    </rPh>
    <rPh sb="12" eb="14">
      <t>フクスウ</t>
    </rPh>
    <rPh sb="19" eb="21">
      <t>シュツリョク</t>
    </rPh>
    <rPh sb="21" eb="22">
      <t>ジ</t>
    </rPh>
    <rPh sb="23" eb="25">
      <t>ガメン</t>
    </rPh>
    <rPh sb="25" eb="26">
      <t>クズ</t>
    </rPh>
    <phoneticPr fontId="2"/>
  </si>
  <si>
    <t>　全般　</t>
    <phoneticPr fontId="2"/>
  </si>
  <si>
    <t>画面表示時にシステムエラーとならないこと</t>
    <phoneticPr fontId="2"/>
  </si>
  <si>
    <t>押下時にシステムエラーとならないこと</t>
    <phoneticPr fontId="2"/>
  </si>
  <si>
    <t>リンク</t>
    <phoneticPr fontId="2"/>
  </si>
  <si>
    <t>ソートリンク</t>
    <phoneticPr fontId="2"/>
  </si>
  <si>
    <t>　ポップアップ</t>
    <phoneticPr fontId="2"/>
  </si>
  <si>
    <t>ポップアップは画面中央部分に表示する</t>
    <phoneticPr fontId="2"/>
  </si>
  <si>
    <t>1画面につき、1つ確認を実施する</t>
    <phoneticPr fontId="2"/>
  </si>
  <si>
    <t>インフォメーション</t>
    <phoneticPr fontId="2"/>
  </si>
  <si>
    <t>ボタン押下時にポップアップ画面にてメッセージを表示する</t>
    <phoneticPr fontId="2"/>
  </si>
  <si>
    <t>1画面につき、1つ確認を実施する</t>
    <rPh sb="1" eb="3">
      <t>ガメン</t>
    </rPh>
    <rPh sb="9" eb="11">
      <t>カクニン</t>
    </rPh>
    <rPh sb="12" eb="14">
      <t>ジッシ</t>
    </rPh>
    <phoneticPr fontId="2"/>
  </si>
  <si>
    <t>ワーニング</t>
    <phoneticPr fontId="2"/>
  </si>
  <si>
    <t>単項目エラー</t>
    <phoneticPr fontId="2"/>
  </si>
  <si>
    <t>項目のカーソルアウト時にポップアップ画面にてメッセージを表示する</t>
    <phoneticPr fontId="2"/>
  </si>
  <si>
    <t>単項目以外のエラー(関連チェックエラー)</t>
    <phoneticPr fontId="2"/>
  </si>
  <si>
    <t>ボタン押下時にポップアップ画面にてメッセージを表示する</t>
    <rPh sb="3" eb="5">
      <t>オウカ</t>
    </rPh>
    <rPh sb="5" eb="6">
      <t>ジ</t>
    </rPh>
    <rPh sb="13" eb="15">
      <t>ガメン</t>
    </rPh>
    <rPh sb="23" eb="25">
      <t>ヒョウジ</t>
    </rPh>
    <phoneticPr fontId="2"/>
  </si>
  <si>
    <t>帳票</t>
    <rPh sb="0" eb="2">
      <t>チョウヒョウ</t>
    </rPh>
    <phoneticPr fontId="2"/>
  </si>
  <si>
    <t>　SVF帳票　</t>
    <rPh sb="4" eb="6">
      <t>チョウヒョウ</t>
    </rPh>
    <phoneticPr fontId="2"/>
  </si>
  <si>
    <t>エラー無くダウンロード、印刷が実施できる</t>
    <rPh sb="3" eb="4">
      <t>ナ</t>
    </rPh>
    <rPh sb="12" eb="14">
      <t>インサツ</t>
    </rPh>
    <rPh sb="15" eb="17">
      <t>ジッシ</t>
    </rPh>
    <phoneticPr fontId="2"/>
  </si>
  <si>
    <t>店番・顧客番号・ユーザーIDのいずれかにスペースが入っている状態で確認を実施する</t>
    <rPh sb="25" eb="26">
      <t>ハイ</t>
    </rPh>
    <rPh sb="30" eb="32">
      <t>ジョウタイ</t>
    </rPh>
    <rPh sb="33" eb="35">
      <t>カクニン</t>
    </rPh>
    <rPh sb="36" eb="38">
      <t>ジッシ</t>
    </rPh>
    <phoneticPr fontId="2"/>
  </si>
  <si>
    <t>修正前後でレイアウト、印刷範囲の差異がないこと</t>
    <rPh sb="0" eb="2">
      <t>シュウセイ</t>
    </rPh>
    <rPh sb="2" eb="4">
      <t>ゼンゴ</t>
    </rPh>
    <rPh sb="11" eb="13">
      <t>インサツ</t>
    </rPh>
    <rPh sb="13" eb="15">
      <t>ハンイ</t>
    </rPh>
    <rPh sb="16" eb="18">
      <t>サイ</t>
    </rPh>
    <phoneticPr fontId="2"/>
  </si>
  <si>
    <t>PDFと印刷(紙出し)で確認を実施する</t>
    <rPh sb="4" eb="6">
      <t>インサツ</t>
    </rPh>
    <rPh sb="7" eb="8">
      <t>カミ</t>
    </rPh>
    <rPh sb="8" eb="9">
      <t>ダ</t>
    </rPh>
    <rPh sb="12" eb="14">
      <t>カクニン</t>
    </rPh>
    <rPh sb="15" eb="17">
      <t>ジッシ</t>
    </rPh>
    <phoneticPr fontId="2"/>
  </si>
  <si>
    <t>罫線の途切れやズレなく表示する</t>
    <rPh sb="0" eb="2">
      <t>ケイセン</t>
    </rPh>
    <rPh sb="3" eb="5">
      <t>トギ</t>
    </rPh>
    <rPh sb="11" eb="13">
      <t>ヒョウジ</t>
    </rPh>
    <phoneticPr fontId="2"/>
  </si>
  <si>
    <t>項目名の見切れや不要な改行なく表示する</t>
    <rPh sb="0" eb="2">
      <t>コウモク</t>
    </rPh>
    <rPh sb="2" eb="3">
      <t>メイ</t>
    </rPh>
    <rPh sb="8" eb="10">
      <t>フヨウ</t>
    </rPh>
    <rPh sb="11" eb="13">
      <t>カイギョウ</t>
    </rPh>
    <phoneticPr fontId="2"/>
  </si>
  <si>
    <t>　RSHEET</t>
    <phoneticPr fontId="2"/>
  </si>
  <si>
    <t>修正前後でレイアウト、印刷範囲の差異がないこと</t>
    <phoneticPr fontId="2"/>
  </si>
  <si>
    <t>excelと印刷(紙出し)で確認を実施する</t>
    <rPh sb="6" eb="8">
      <t>インサツ</t>
    </rPh>
    <rPh sb="9" eb="10">
      <t>カミ</t>
    </rPh>
    <rPh sb="10" eb="11">
      <t>ダ</t>
    </rPh>
    <rPh sb="14" eb="16">
      <t>カクニン</t>
    </rPh>
    <rPh sb="17" eb="19">
      <t>ジッシ</t>
    </rPh>
    <phoneticPr fontId="2"/>
  </si>
  <si>
    <t>表示</t>
    <rPh sb="0" eb="2">
      <t>ヒョウジ</t>
    </rPh>
    <phoneticPr fontId="2"/>
  </si>
  <si>
    <t>SPANタグ挿入によるデータ導出タグ &amp;{TBL_xxx}が表示されない</t>
    <rPh sb="30" eb="32">
      <t>ヒョウジ</t>
    </rPh>
    <phoneticPr fontId="2"/>
  </si>
  <si>
    <t>互換性チェック</t>
    <phoneticPr fontId="2"/>
  </si>
  <si>
    <t>RSHEET出力時に互換性表示のダイアログが表示されない</t>
    <rPh sb="22" eb="24">
      <t>ヒョウジ</t>
    </rPh>
    <phoneticPr fontId="2"/>
  </si>
  <si>
    <t>セルの保護</t>
    <phoneticPr fontId="2"/>
  </si>
  <si>
    <t>セルの保護について、修正前後で保護を行なうセル、保護を行なわないセルに相違がないこと</t>
    <phoneticPr fontId="2"/>
  </si>
  <si>
    <t>Rシートレイアウトの変更を実施した場合のみを実施する</t>
    <rPh sb="10" eb="12">
      <t>ヘンコウ</t>
    </rPh>
    <rPh sb="13" eb="15">
      <t>ジッシ</t>
    </rPh>
    <rPh sb="17" eb="19">
      <t>バアイ</t>
    </rPh>
    <rPh sb="22" eb="24">
      <t>ジッシ</t>
    </rPh>
    <phoneticPr fontId="2"/>
  </si>
  <si>
    <t xml:space="preserve">・テスト結果の作成方法の確認　（「UT結果チェックリスト」、「UT結果参照用」を参照）
</t>
    <rPh sb="4" eb="6">
      <t>ケッカ</t>
    </rPh>
    <rPh sb="7" eb="9">
      <t>サクセイ</t>
    </rPh>
    <rPh sb="9" eb="11">
      <t>ホウホウ</t>
    </rPh>
    <rPh sb="12" eb="14">
      <t>カクニン</t>
    </rPh>
    <rPh sb="40" eb="42">
      <t>サンショウ</t>
    </rPh>
    <phoneticPr fontId="5"/>
  </si>
  <si>
    <t xml:space="preserve">・テストデータは同じ値のデータを用意するのではなく、値を変えた複数のデータが準備されていることを確認する
※抽出確認時等に同様の値のデータだけだった場合、意図しているデータが抽出されているか確認できないためデータパターンを複数用意する。
</t>
    <rPh sb="8" eb="9">
      <t>オナ</t>
    </rPh>
    <rPh sb="10" eb="11">
      <t>アタイ</t>
    </rPh>
    <rPh sb="16" eb="18">
      <t>ヨウイ</t>
    </rPh>
    <rPh sb="26" eb="27">
      <t>アタイ</t>
    </rPh>
    <rPh sb="28" eb="29">
      <t>カ</t>
    </rPh>
    <rPh sb="31" eb="33">
      <t>フクスウ</t>
    </rPh>
    <rPh sb="38" eb="40">
      <t>ジュンビ</t>
    </rPh>
    <rPh sb="48" eb="50">
      <t>カクニン</t>
    </rPh>
    <rPh sb="54" eb="56">
      <t>チュウシュツ</t>
    </rPh>
    <rPh sb="56" eb="58">
      <t>カクニン</t>
    </rPh>
    <rPh sb="58" eb="59">
      <t>ジ</t>
    </rPh>
    <rPh sb="59" eb="60">
      <t>トウ</t>
    </rPh>
    <rPh sb="61" eb="63">
      <t>ドウヨウ</t>
    </rPh>
    <rPh sb="64" eb="65">
      <t>アタイ</t>
    </rPh>
    <rPh sb="74" eb="76">
      <t>バアイ</t>
    </rPh>
    <rPh sb="77" eb="79">
      <t>イト</t>
    </rPh>
    <rPh sb="87" eb="89">
      <t>チュウシュツ</t>
    </rPh>
    <rPh sb="95" eb="97">
      <t>カクニン</t>
    </rPh>
    <rPh sb="111" eb="113">
      <t>フクスウ</t>
    </rPh>
    <rPh sb="113" eb="115">
      <t>ヨウイ</t>
    </rPh>
    <phoneticPr fontId="5"/>
  </si>
  <si>
    <t xml:space="preserve">・RSHEET（テンプレート）の修正時、修正前後のテンプレート比較結果をエビデンスとして取得していることを確認
　比較検証ツール（VSS：$/Document/001.Package/D.Tool/hikakucel.xls）
</t>
    <rPh sb="16" eb="18">
      <t>シュウセイ</t>
    </rPh>
    <rPh sb="44" eb="46">
      <t>シュトク</t>
    </rPh>
    <rPh sb="53" eb="55">
      <t>カクニン</t>
    </rPh>
    <phoneticPr fontId="5"/>
  </si>
  <si>
    <r>
      <t xml:space="preserve">・プログラム修正前後で出力された画面・帳票・CSVファイルの内容を突合し、不正な差異がないかを確認
</t>
    </r>
    <r>
      <rPr>
        <sz val="11"/>
        <color indexed="10"/>
        <rFont val="Meiryo UI"/>
        <family val="3"/>
        <charset val="128"/>
      </rPr>
      <t>・修正前後のエビデンスを作成しているかを確認
※修正前のエビデンスを取得していること。但し、カスタマイズ(レベルアップ)案件や再現性が低く困難場な合は除く</t>
    </r>
    <rPh sb="16" eb="18">
      <t>ガメン</t>
    </rPh>
    <rPh sb="19" eb="21">
      <t>チョウヒョウ</t>
    </rPh>
    <rPh sb="47" eb="49">
      <t>カクニン</t>
    </rPh>
    <rPh sb="51" eb="53">
      <t>シュウセイ</t>
    </rPh>
    <rPh sb="53" eb="55">
      <t>ゼンゴ</t>
    </rPh>
    <rPh sb="62" eb="64">
      <t>サクセイ</t>
    </rPh>
    <rPh sb="70" eb="72">
      <t>カクニン</t>
    </rPh>
    <rPh sb="117" eb="118">
      <t>ヒク</t>
    </rPh>
    <rPh sb="119" eb="121">
      <t>コンナン</t>
    </rPh>
    <phoneticPr fontId="5"/>
  </si>
  <si>
    <t>ソース</t>
    <phoneticPr fontId="2"/>
  </si>
  <si>
    <t>オンコード</t>
  </si>
  <si>
    <t xml:space="preserve">・ソース上にコードが記述されていないか確認
</t>
    <rPh sb="4" eb="5">
      <t>ジョウ</t>
    </rPh>
    <rPh sb="10" eb="12">
      <t>キジュツ</t>
    </rPh>
    <rPh sb="19" eb="21">
      <t>カクニン</t>
    </rPh>
    <phoneticPr fontId="5"/>
  </si>
  <si>
    <t>3-2</t>
    <phoneticPr fontId="9"/>
  </si>
  <si>
    <t xml:space="preserve">・ヘッダーコメントを記述しているか確認
・変更履歴を記述しているか確認
</t>
    <rPh sb="10" eb="12">
      <t>キジュツ</t>
    </rPh>
    <rPh sb="17" eb="19">
      <t>カクニン</t>
    </rPh>
    <phoneticPr fontId="5"/>
  </si>
  <si>
    <t>コメント</t>
  </si>
  <si>
    <t xml:space="preserve">・VSSでチェックアウトされたものに修正を実施していること
</t>
    <phoneticPr fontId="9"/>
  </si>
  <si>
    <t xml:space="preserve">・SP内で使用する一時テーブルの定義が正しいことを確認 （RT-RT-09415を参照）
</t>
    <rPh sb="3" eb="4">
      <t>ナイ</t>
    </rPh>
    <rPh sb="5" eb="7">
      <t>シヨウ</t>
    </rPh>
    <rPh sb="9" eb="11">
      <t>イチジ</t>
    </rPh>
    <rPh sb="16" eb="18">
      <t>テイギ</t>
    </rPh>
    <rPh sb="19" eb="20">
      <t>タダ</t>
    </rPh>
    <rPh sb="25" eb="27">
      <t>カクニン</t>
    </rPh>
    <rPh sb="41" eb="43">
      <t>サンショウ</t>
    </rPh>
    <phoneticPr fontId="5"/>
  </si>
  <si>
    <t>3-13</t>
  </si>
  <si>
    <t>3-14</t>
  </si>
  <si>
    <t xml:space="preserve">・参照系SQLで複数画面から呼ばれかつ、参照するテーブルに対して他画面で更新処理が行われる場合がある際にはREAD UNCOMMITTEDを付与する。
</t>
    <rPh sb="1" eb="3">
      <t>サンショウ</t>
    </rPh>
    <rPh sb="3" eb="4">
      <t>ケイ</t>
    </rPh>
    <rPh sb="8" eb="10">
      <t>フクスウ</t>
    </rPh>
    <rPh sb="10" eb="12">
      <t>ガメン</t>
    </rPh>
    <rPh sb="14" eb="15">
      <t>ヨ</t>
    </rPh>
    <rPh sb="20" eb="22">
      <t>サンショウ</t>
    </rPh>
    <rPh sb="29" eb="30">
      <t>タイ</t>
    </rPh>
    <rPh sb="32" eb="33">
      <t>タ</t>
    </rPh>
    <rPh sb="33" eb="35">
      <t>ガメン</t>
    </rPh>
    <rPh sb="36" eb="38">
      <t>コウシン</t>
    </rPh>
    <rPh sb="38" eb="40">
      <t>ショリ</t>
    </rPh>
    <rPh sb="41" eb="42">
      <t>オコナ</t>
    </rPh>
    <rPh sb="45" eb="47">
      <t>バアイ</t>
    </rPh>
    <rPh sb="50" eb="51">
      <t>サイ</t>
    </rPh>
    <rPh sb="70" eb="72">
      <t>フヨ</t>
    </rPh>
    <phoneticPr fontId="5"/>
  </si>
  <si>
    <t>3-15</t>
  </si>
  <si>
    <t xml:space="preserve">・WHERE句はテーブルのキー順になっていることを確認
</t>
    <rPh sb="6" eb="7">
      <t>ク</t>
    </rPh>
    <rPh sb="15" eb="16">
      <t>ジュン</t>
    </rPh>
    <rPh sb="25" eb="27">
      <t>カクニン</t>
    </rPh>
    <phoneticPr fontId="5"/>
  </si>
  <si>
    <t xml:space="preserve">・複数行を一覧形式で取得するクエリの場合は必ずソート順の仕様を明記していること。
・結果レコードが1行しか取得されない場合や、存在チェック等のクエリでソート指定がが不要な場合は不要な旨を明記する。
</t>
    <rPh sb="21" eb="22">
      <t>カナラ</t>
    </rPh>
    <rPh sb="26" eb="27">
      <t>ジュン</t>
    </rPh>
    <rPh sb="28" eb="30">
      <t>シヨウ</t>
    </rPh>
    <rPh sb="31" eb="33">
      <t>メイキ</t>
    </rPh>
    <rPh sb="42" eb="44">
      <t>ケッカ</t>
    </rPh>
    <rPh sb="78" eb="80">
      <t>シテイ</t>
    </rPh>
    <phoneticPr fontId="3"/>
  </si>
  <si>
    <t>3-21</t>
    <phoneticPr fontId="9"/>
  </si>
  <si>
    <t>起票基準や運用方法って毎回変わるもの？</t>
    <rPh sb="0" eb="4">
      <t>キヒョウキジュン</t>
    </rPh>
    <rPh sb="5" eb="7">
      <t>ウンヨウ</t>
    </rPh>
    <rPh sb="7" eb="9">
      <t>ホウホウ</t>
    </rPh>
    <rPh sb="11" eb="13">
      <t>マイカイ</t>
    </rPh>
    <rPh sb="13" eb="14">
      <t>カ</t>
    </rPh>
    <phoneticPr fontId="2"/>
  </si>
  <si>
    <t>モジュール管理についての記載がよくわからない</t>
    <rPh sb="5" eb="7">
      <t>カンリ</t>
    </rPh>
    <rPh sb="12" eb="14">
      <t>キサイ</t>
    </rPh>
    <phoneticPr fontId="2"/>
  </si>
  <si>
    <t>作成例に準拠していること</t>
    <rPh sb="0" eb="3">
      <t>サクセイレイ</t>
    </rPh>
    <rPh sb="4" eb="6">
      <t>ジュンキョ</t>
    </rPh>
    <phoneticPr fontId="2"/>
  </si>
  <si>
    <t>運用
ITA計画書の記載？</t>
    <rPh sb="0" eb="2">
      <t>ウンヨウ</t>
    </rPh>
    <rPh sb="6" eb="9">
      <t>ケイカクショ</t>
    </rPh>
    <rPh sb="10" eb="12">
      <t>キサイ</t>
    </rPh>
    <phoneticPr fontId="5"/>
  </si>
  <si>
    <t>（新規導入時）
導入範囲</t>
    <rPh sb="1" eb="6">
      <t>シンキドウニュウジ</t>
    </rPh>
    <rPh sb="8" eb="10">
      <t>ドウニュウ</t>
    </rPh>
    <rPh sb="10" eb="12">
      <t>ハンイ</t>
    </rPh>
    <phoneticPr fontId="9"/>
  </si>
  <si>
    <t xml:space="preserve">・不要な画面は含まれていないか確認
・不要な帳票は含まれていないか確認
・不要なRシートは含まれていないか確認
・不要なSPは含まれていないか確認
・不要なマスタデータは含まれていないか確認
(PKGから設定変更の場合等)
</t>
    <rPh sb="1" eb="3">
      <t>フヨウ</t>
    </rPh>
    <rPh sb="4" eb="6">
      <t>ガメン</t>
    </rPh>
    <rPh sb="19" eb="21">
      <t>フヨウ</t>
    </rPh>
    <rPh sb="22" eb="24">
      <t>チョウヒョウ</t>
    </rPh>
    <rPh sb="37" eb="39">
      <t>フヨウ</t>
    </rPh>
    <rPh sb="57" eb="59">
      <t>フヨウ</t>
    </rPh>
    <rPh sb="75" eb="77">
      <t>フヨウ</t>
    </rPh>
    <rPh sb="85" eb="86">
      <t>フク</t>
    </rPh>
    <phoneticPr fontId="5"/>
  </si>
  <si>
    <t>意味が分からない
⇐ITAの確認事項なのか？</t>
    <rPh sb="14" eb="18">
      <t>カクニンジコウ</t>
    </rPh>
    <phoneticPr fontId="9"/>
  </si>
  <si>
    <t>芳野</t>
    <rPh sb="0" eb="2">
      <t>ヨシノ</t>
    </rPh>
    <phoneticPr fontId="46"/>
  </si>
  <si>
    <t>黒岩</t>
    <rPh sb="0" eb="2">
      <t>クロイワ</t>
    </rPh>
    <phoneticPr fontId="46"/>
  </si>
  <si>
    <t>志村</t>
    <rPh sb="0" eb="2">
      <t>シムラ</t>
    </rPh>
    <phoneticPr fontId="46"/>
  </si>
  <si>
    <t>対応しない理由</t>
    <phoneticPr fontId="2"/>
  </si>
  <si>
    <t>加藤</t>
    <rPh sb="0" eb="2">
      <t>カトウ</t>
    </rPh>
    <phoneticPr fontId="15"/>
  </si>
  <si>
    <t xml:space="preserve">・パフォーマンスについて考慮しているか、考慮の結果必要な場合はケースに含まれているか
</t>
    <rPh sb="12" eb="14">
      <t>コウリョ</t>
    </rPh>
    <rPh sb="20" eb="22">
      <t>コウリョ</t>
    </rPh>
    <rPh sb="23" eb="25">
      <t>ケッカ</t>
    </rPh>
    <rPh sb="25" eb="27">
      <t>ヒツヨウ</t>
    </rPh>
    <rPh sb="28" eb="30">
      <t>バアイ</t>
    </rPh>
    <rPh sb="35" eb="36">
      <t>フク</t>
    </rPh>
    <phoneticPr fontId="5"/>
  </si>
  <si>
    <t>・パフォーマンスについて考慮しているか、考慮の結果必要な場合はケースに含まれているか</t>
    <phoneticPr fontId="46"/>
  </si>
  <si>
    <t>パフォーマンス</t>
    <phoneticPr fontId="46"/>
  </si>
  <si>
    <t>・設計書とテスト概要を突合し 、抜け漏れが無いことを確認する。
・テスト概要とテスト仕様書を突合し 、抜け漏れが無いことを確認する。
・Itb実施前に1項目の確認を作業者・再鑑者の2名以上の体制で必ず実施し、完了させること。</t>
    <rPh sb="1" eb="4">
      <t>セッケイショ</t>
    </rPh>
    <rPh sb="8" eb="10">
      <t>ガイヨウ</t>
    </rPh>
    <rPh sb="36" eb="38">
      <t>ガイヨウ</t>
    </rPh>
    <rPh sb="42" eb="45">
      <t>シヨウショ</t>
    </rPh>
    <phoneticPr fontId="5"/>
  </si>
  <si>
    <t>・ファイル作成リスト対象テーブルのカラムが追加されている場合、対象カラムのデータが出力されていることを確認
 ※ファイル出力する事になった場合</t>
  </si>
  <si>
    <t xml:space="preserve">・Tab順が正しく定義されているか
※Tabキーで、Tab順に設定してある順番で順方向に遷移するか
※Shift+Tabキーで、Tab順に設定してある順番の逆順に遷移するか
</t>
    <rPh sb="4" eb="5">
      <t>ジュン</t>
    </rPh>
    <rPh sb="6" eb="7">
      <t>タダ</t>
    </rPh>
    <rPh sb="9" eb="11">
      <t>テイギ</t>
    </rPh>
    <phoneticPr fontId="2"/>
  </si>
  <si>
    <t>・新規Agent作成及び、ステップ追加、削除する場合は対象の作成を必ずSSMS上のGUIで対応すること
・新規AgentのAgentID（job_id）及び、スケジュールID（schedule_uid）でgrepし、当該Agent以外に該当しないことを確認すること</t>
    <phoneticPr fontId="2"/>
  </si>
  <si>
    <t xml:space="preserve">・新規資産登録の場合はVSSに同一名のモジュールが無いこと
</t>
    <rPh sb="1" eb="3">
      <t>シンキ</t>
    </rPh>
    <rPh sb="3" eb="5">
      <t>シサン</t>
    </rPh>
    <rPh sb="5" eb="7">
      <t>トウロク</t>
    </rPh>
    <rPh sb="8" eb="10">
      <t>バアイ</t>
    </rPh>
    <rPh sb="15" eb="17">
      <t>ドウイツ</t>
    </rPh>
    <rPh sb="17" eb="18">
      <t>メイ</t>
    </rPh>
    <rPh sb="25" eb="26">
      <t>ナ</t>
    </rPh>
    <phoneticPr fontId="2"/>
  </si>
  <si>
    <t xml:space="preserve">・必ず設定ファイル等での定義を検討し、オンコードとする必要がある場合は事前に許可を得ること
</t>
    <rPh sb="1" eb="2">
      <t>カナラ</t>
    </rPh>
    <rPh sb="3" eb="5">
      <t>セッテイ</t>
    </rPh>
    <rPh sb="9" eb="10">
      <t>トウ</t>
    </rPh>
    <rPh sb="12" eb="14">
      <t>テイギ</t>
    </rPh>
    <rPh sb="15" eb="17">
      <t>ケントウ</t>
    </rPh>
    <rPh sb="27" eb="29">
      <t>ヒツヨウ</t>
    </rPh>
    <rPh sb="32" eb="34">
      <t>バアイ</t>
    </rPh>
    <rPh sb="35" eb="37">
      <t>ジゼン</t>
    </rPh>
    <rPh sb="38" eb="40">
      <t>キョカ</t>
    </rPh>
    <rPh sb="41" eb="42">
      <t>エ</t>
    </rPh>
    <phoneticPr fontId="5"/>
  </si>
  <si>
    <t xml:space="preserve">・抽出データが０件の場合でもエラーとならないこと
・算出項目がNULLの場合でもエラーとならないこと。
・算出項目がNULLの場合でもエラーとならないこと。
</t>
    <rPh sb="1" eb="3">
      <t>チュウシュツ</t>
    </rPh>
    <rPh sb="8" eb="9">
      <t>ケン</t>
    </rPh>
    <rPh sb="10" eb="12">
      <t>バアイ</t>
    </rPh>
    <phoneticPr fontId="5"/>
  </si>
  <si>
    <t>・メッセージ内容の確認
特に画面文言変更部分に関しては、画面文言と整合確認必須
日本語としておかしくないか確認、記号の使用法が合っているか</t>
    <rPh sb="9" eb="11">
      <t>カクニン</t>
    </rPh>
    <rPh sb="12" eb="13">
      <t>トク</t>
    </rPh>
    <rPh sb="14" eb="16">
      <t>ガメン</t>
    </rPh>
    <rPh sb="16" eb="18">
      <t>モンゴン</t>
    </rPh>
    <rPh sb="18" eb="20">
      <t>ヘンコウ</t>
    </rPh>
    <rPh sb="20" eb="22">
      <t>ブブン</t>
    </rPh>
    <rPh sb="23" eb="24">
      <t>カン</t>
    </rPh>
    <rPh sb="28" eb="30">
      <t>ガメン</t>
    </rPh>
    <rPh sb="30" eb="32">
      <t>モンゴン</t>
    </rPh>
    <rPh sb="33" eb="35">
      <t>セイゴウ</t>
    </rPh>
    <rPh sb="35" eb="37">
      <t>カクニン</t>
    </rPh>
    <rPh sb="37" eb="39">
      <t>ヒッス</t>
    </rPh>
    <phoneticPr fontId="5"/>
  </si>
  <si>
    <t>・Tabキーで、順方向に遷移の確認&lt;新規画面・項目追加画面では確認必須&gt;
・Shift+Tabキーで、逆順に遷移の確認&lt;新規画面・項目追加画面では確認必須&gt;</t>
    <rPh sb="15" eb="17">
      <t>カクニン</t>
    </rPh>
    <rPh sb="18" eb="20">
      <t>シンキ</t>
    </rPh>
    <rPh sb="20" eb="22">
      <t>ガメン</t>
    </rPh>
    <rPh sb="23" eb="25">
      <t>コウモク</t>
    </rPh>
    <rPh sb="25" eb="27">
      <t>ツイカ</t>
    </rPh>
    <rPh sb="27" eb="29">
      <t>ガメン</t>
    </rPh>
    <rPh sb="31" eb="33">
      <t>カクニン</t>
    </rPh>
    <rPh sb="33" eb="35">
      <t>ヒッス</t>
    </rPh>
    <phoneticPr fontId="5"/>
  </si>
  <si>
    <t xml:space="preserve">ユーザ権限や条件による参照モード、更新モードの切り替え制御が想定通りであることの確認（モード毎の入力可否制御、プルダウン表示内容、ボタン表示等）
</t>
    <rPh sb="3" eb="5">
      <t>ケンゲン</t>
    </rPh>
    <rPh sb="6" eb="8">
      <t>ジョウケン</t>
    </rPh>
    <rPh sb="11" eb="13">
      <t>サンショウ</t>
    </rPh>
    <rPh sb="17" eb="19">
      <t>コウシン</t>
    </rPh>
    <rPh sb="23" eb="24">
      <t>キ</t>
    </rPh>
    <rPh sb="25" eb="26">
      <t>カ</t>
    </rPh>
    <rPh sb="27" eb="29">
      <t>セイギョ</t>
    </rPh>
    <rPh sb="30" eb="32">
      <t>ソウテイ</t>
    </rPh>
    <rPh sb="32" eb="33">
      <t>ドオ</t>
    </rPh>
    <rPh sb="40" eb="42">
      <t>カクニン</t>
    </rPh>
    <rPh sb="46" eb="47">
      <t>ゴト</t>
    </rPh>
    <rPh sb="48" eb="50">
      <t>ニュウリョク</t>
    </rPh>
    <rPh sb="50" eb="54">
      <t>カヒセイギョ</t>
    </rPh>
    <rPh sb="60" eb="62">
      <t>ヒョウジ</t>
    </rPh>
    <rPh sb="62" eb="64">
      <t>ナイヨウ</t>
    </rPh>
    <rPh sb="68" eb="70">
      <t>ヒョウジ</t>
    </rPh>
    <rPh sb="70" eb="71">
      <t>トウ</t>
    </rPh>
    <phoneticPr fontId="5"/>
  </si>
  <si>
    <t xml:space="preserve">項目の入力可否制御（活性、非活性制御）が想定通りか確認
</t>
    <rPh sb="0" eb="2">
      <t>コウモク</t>
    </rPh>
    <rPh sb="3" eb="5">
      <t>ニュウリョク</t>
    </rPh>
    <rPh sb="5" eb="7">
      <t>カヒ</t>
    </rPh>
    <rPh sb="7" eb="9">
      <t>セイギョ</t>
    </rPh>
    <rPh sb="10" eb="12">
      <t>カッセイ</t>
    </rPh>
    <rPh sb="13" eb="16">
      <t>ヒカッセイ</t>
    </rPh>
    <rPh sb="16" eb="18">
      <t>セイギョ</t>
    </rPh>
    <rPh sb="20" eb="23">
      <t>ソウテイドオ</t>
    </rPh>
    <rPh sb="25" eb="27">
      <t>カクニン</t>
    </rPh>
    <phoneticPr fontId="5"/>
  </si>
  <si>
    <t>一時テーブル</t>
    <phoneticPr fontId="21"/>
  </si>
  <si>
    <t xml:space="preserve">全角項目にカーソルを当てた際にIEモードが変更される事象についての確認
</t>
    <rPh sb="0" eb="4">
      <t>ゼンカクコウモク</t>
    </rPh>
    <rPh sb="10" eb="11">
      <t>ア</t>
    </rPh>
    <rPh sb="13" eb="14">
      <t>サイ</t>
    </rPh>
    <rPh sb="21" eb="23">
      <t>ヘンコウ</t>
    </rPh>
    <rPh sb="26" eb="28">
      <t>ジショウ</t>
    </rPh>
    <rPh sb="33" eb="35">
      <t>カクニン</t>
    </rPh>
    <phoneticPr fontId="5"/>
  </si>
  <si>
    <t>1-２</t>
    <phoneticPr fontId="2"/>
  </si>
  <si>
    <t>サイズ、チェック内容、ボタン、表示内容</t>
    <rPh sb="8" eb="10">
      <t>ナイヨウ</t>
    </rPh>
    <rPh sb="15" eb="19">
      <t>ヒョウジナイヨウ</t>
    </rPh>
    <phoneticPr fontId="42"/>
  </si>
  <si>
    <t>エビデンス作成シートに順守していること</t>
    <rPh sb="11" eb="13">
      <t>ジュンシュ</t>
    </rPh>
    <phoneticPr fontId="42"/>
  </si>
  <si>
    <t>名前、項目名と項目ID、データ、対象データ、関連データ</t>
    <rPh sb="0" eb="2">
      <t>ナマエ</t>
    </rPh>
    <rPh sb="3" eb="5">
      <t>コウモク</t>
    </rPh>
    <rPh sb="5" eb="6">
      <t>メイ</t>
    </rPh>
    <rPh sb="7" eb="9">
      <t>コウモク</t>
    </rPh>
    <rPh sb="16" eb="18">
      <t>タイショウ</t>
    </rPh>
    <rPh sb="22" eb="24">
      <t>カンレン</t>
    </rPh>
    <phoneticPr fontId="42"/>
  </si>
  <si>
    <t>バッチ</t>
    <phoneticPr fontId="46"/>
  </si>
  <si>
    <t>河村</t>
    <rPh sb="0" eb="2">
      <t>カワムラ</t>
    </rPh>
    <phoneticPr fontId="2"/>
  </si>
  <si>
    <t>設計書チェックシート
実装チェックシート
UT仕様書チェックシート
成果物作成チェックシート
ITAチェックシート
ITBチェックシート</t>
    <phoneticPr fontId="2"/>
  </si>
  <si>
    <t>全体的な項目の削除・変更</t>
    <rPh sb="0" eb="2">
      <t>ゼンタイ</t>
    </rPh>
    <rPh sb="2" eb="3">
      <t>テキ</t>
    </rPh>
    <rPh sb="4" eb="6">
      <t>コウモク</t>
    </rPh>
    <rPh sb="7" eb="9">
      <t>サクジョ</t>
    </rPh>
    <rPh sb="10" eb="12">
      <t>ヘンコウ</t>
    </rPh>
    <phoneticPr fontId="2"/>
  </si>
  <si>
    <t>1-2</t>
    <phoneticPr fontId="9"/>
  </si>
  <si>
    <t>・テスト環境のドライブ(C、F等)が本番環境と同様であること。準備できない場合は本番環境を想定した実装になっていること(参考:RT-RT-72378)</t>
    <phoneticPr fontId="9"/>
  </si>
  <si>
    <t>テスト環境についての注意点を追記</t>
    <rPh sb="3" eb="5">
      <t>カンキョウ</t>
    </rPh>
    <rPh sb="10" eb="13">
      <t>チュウイテン</t>
    </rPh>
    <rPh sb="14" eb="16">
      <t>ツイキ</t>
    </rPh>
    <phoneticPr fontId="2"/>
  </si>
  <si>
    <t>実装チェックシート</t>
    <phoneticPr fontId="2"/>
  </si>
  <si>
    <t>5-5</t>
    <phoneticPr fontId="6"/>
  </si>
  <si>
    <r>
      <rPr>
        <sz val="11"/>
        <rFont val="Meiryo UI"/>
        <family val="3"/>
        <charset val="128"/>
      </rPr>
      <t>・画面レイアウトの定義が要件通りとなっているか
※画面サイズと表示位置、画面タイトル、スクロールバー、フォント、背景等</t>
    </r>
    <r>
      <rPr>
        <strike/>
        <sz val="11"/>
        <rFont val="Meiryo UI"/>
        <family val="3"/>
        <charset val="128"/>
      </rPr>
      <t xml:space="preserve">
</t>
    </r>
    <r>
      <rPr>
        <sz val="11"/>
        <rFont val="Meiryo UI"/>
        <family val="3"/>
        <charset val="128"/>
      </rPr>
      <t xml:space="preserve">※ラベル文字、一覧表のレイアウト、ページング、ボタン（リンク）配置等
</t>
    </r>
    <rPh sb="1" eb="3">
      <t>ガメン</t>
    </rPh>
    <rPh sb="9" eb="11">
      <t>テイギ</t>
    </rPh>
    <rPh sb="12" eb="15">
      <t>ヨウケンドオ</t>
    </rPh>
    <rPh sb="25" eb="27">
      <t>ガメン</t>
    </rPh>
    <rPh sb="31" eb="33">
      <t>ヒョウジ</t>
    </rPh>
    <rPh sb="33" eb="35">
      <t>イチ</t>
    </rPh>
    <rPh sb="36" eb="38">
      <t>ガメン</t>
    </rPh>
    <rPh sb="56" eb="58">
      <t>ハイケイ</t>
    </rPh>
    <rPh sb="58" eb="59">
      <t>ナド</t>
    </rPh>
    <rPh sb="64" eb="66">
      <t>モジ</t>
    </rPh>
    <rPh sb="67" eb="69">
      <t>イチラン</t>
    </rPh>
    <rPh sb="69" eb="70">
      <t>ヒョウ</t>
    </rPh>
    <rPh sb="91" eb="93">
      <t>ハイチ</t>
    </rPh>
    <rPh sb="93" eb="94">
      <t>トウ</t>
    </rPh>
    <phoneticPr fontId="2"/>
  </si>
  <si>
    <r>
      <rPr>
        <strike/>
        <sz val="11"/>
        <rFont val="Meiryo UI"/>
        <family val="3"/>
        <charset val="128"/>
      </rPr>
      <t>・</t>
    </r>
    <r>
      <rPr>
        <sz val="11"/>
        <rFont val="Meiryo UI"/>
        <family val="3"/>
        <charset val="128"/>
      </rPr>
      <t xml:space="preserve">初期表示内容（初期値）が考慮できているか
</t>
    </r>
    <rPh sb="1" eb="5">
      <t>ショキヒョウジ</t>
    </rPh>
    <rPh sb="5" eb="7">
      <t>ナイヨウ</t>
    </rPh>
    <rPh sb="8" eb="11">
      <t>ショキチ</t>
    </rPh>
    <rPh sb="13" eb="15">
      <t>コウリョ</t>
    </rPh>
    <phoneticPr fontId="2"/>
  </si>
  <si>
    <r>
      <rPr>
        <sz val="11"/>
        <rFont val="Meiryo UI"/>
        <family val="3"/>
        <charset val="128"/>
      </rPr>
      <t>・画面項目の保存先情報が定義されており、正しくDBに反映される作りとなっているか</t>
    </r>
    <r>
      <rPr>
        <strike/>
        <sz val="11"/>
        <rFont val="Meiryo UI"/>
        <family val="3"/>
        <charset val="128"/>
      </rPr>
      <t xml:space="preserve">
</t>
    </r>
    <phoneticPr fontId="2"/>
  </si>
  <si>
    <t>・ファイルの読み取りに失敗した場合の定義（ファイルを開いていた等上書きに失敗する場合）</t>
    <rPh sb="6" eb="7">
      <t>ヨ</t>
    </rPh>
    <rPh sb="8" eb="9">
      <t>ト</t>
    </rPh>
    <rPh sb="11" eb="13">
      <t>シッパイ</t>
    </rPh>
    <rPh sb="15" eb="17">
      <t>バアイ</t>
    </rPh>
    <rPh sb="18" eb="20">
      <t>テイギ</t>
    </rPh>
    <rPh sb="26" eb="27">
      <t>ヒラ</t>
    </rPh>
    <rPh sb="31" eb="32">
      <t>トウ</t>
    </rPh>
    <rPh sb="32" eb="34">
      <t>ウワガ</t>
    </rPh>
    <rPh sb="36" eb="38">
      <t>シッパイ</t>
    </rPh>
    <rPh sb="40" eb="42">
      <t>バアイ</t>
    </rPh>
    <phoneticPr fontId="2"/>
  </si>
  <si>
    <t xml:space="preserve">「D:\OneDrive\電通\BANK・R サービスデスク - 00_共有フォルダ\A09.SVN\移行\D01.導入開発\A30_設定方法/各種設定の定義方法.xlsx」
設定定義変更をする際は、上記ファイルの対象金融機関とパッケージシートを必ず確認する。
・今回と同様の設定変更が記載済みであれば、設定方法に則った対応を実施する。
・今回と同様の設定変更が未登録であれば、登録する。
</t>
    <rPh sb="88" eb="90">
      <t>セッテイ</t>
    </rPh>
    <rPh sb="90" eb="92">
      <t>テイギ</t>
    </rPh>
    <rPh sb="92" eb="94">
      <t>ヘンコウ</t>
    </rPh>
    <rPh sb="97" eb="98">
      <t>サイ</t>
    </rPh>
    <rPh sb="100" eb="102">
      <t>ジョウキ</t>
    </rPh>
    <rPh sb="107" eb="109">
      <t>タイショウ</t>
    </rPh>
    <rPh sb="109" eb="111">
      <t>キンユウ</t>
    </rPh>
    <rPh sb="111" eb="113">
      <t>キカン</t>
    </rPh>
    <rPh sb="123" eb="124">
      <t>カナラ</t>
    </rPh>
    <rPh sb="125" eb="127">
      <t>カクニン</t>
    </rPh>
    <rPh sb="133" eb="135">
      <t>コンカイ</t>
    </rPh>
    <rPh sb="136" eb="138">
      <t>ドウヨウ</t>
    </rPh>
    <rPh sb="139" eb="141">
      <t>セッテイ</t>
    </rPh>
    <rPh sb="141" eb="143">
      <t>ヘンコウ</t>
    </rPh>
    <rPh sb="144" eb="146">
      <t>キサイ</t>
    </rPh>
    <rPh sb="146" eb="147">
      <t>ズ</t>
    </rPh>
    <rPh sb="153" eb="155">
      <t>セッテイ</t>
    </rPh>
    <rPh sb="155" eb="157">
      <t>ホウホウ</t>
    </rPh>
    <rPh sb="158" eb="159">
      <t>ノット</t>
    </rPh>
    <rPh sb="161" eb="162">
      <t>タイ</t>
    </rPh>
    <rPh sb="162" eb="163">
      <t>オウ</t>
    </rPh>
    <rPh sb="164" eb="166">
      <t>ジッシ</t>
    </rPh>
    <rPh sb="171" eb="173">
      <t>コンカイ</t>
    </rPh>
    <rPh sb="174" eb="176">
      <t>ドウヨウ</t>
    </rPh>
    <rPh sb="177" eb="179">
      <t>セッテイ</t>
    </rPh>
    <rPh sb="179" eb="181">
      <t>ヘンコウ</t>
    </rPh>
    <rPh sb="182" eb="185">
      <t>ミトウロク</t>
    </rPh>
    <rPh sb="190" eb="192">
      <t>トウロク</t>
    </rPh>
    <phoneticPr fontId="2"/>
  </si>
  <si>
    <t xml:space="preserve">必ず order by をセットで実装していること。(サブクエリは除く)
</t>
    <rPh sb="0" eb="1">
      <t>カナラ</t>
    </rPh>
    <rPh sb="17" eb="19">
      <t>ジッソウ</t>
    </rPh>
    <rPh sb="33" eb="34">
      <t>ノゾ</t>
    </rPh>
    <phoneticPr fontId="2"/>
  </si>
  <si>
    <t>Module/Anken下のチェックイン対象モジュールについて、
・「履歴の表示」より、修正バージョンとその前バージョンを選択し、相違点を確認する。
・修正内容が反映されているか、修正内容以外の変更がないかを確認する。
（Git移行後削除）</t>
    <rPh sb="35" eb="37">
      <t>リレキ</t>
    </rPh>
    <rPh sb="38" eb="40">
      <t>ヒョウジ</t>
    </rPh>
    <rPh sb="94" eb="96">
      <t>イガイ</t>
    </rPh>
    <rPh sb="114" eb="117">
      <t>イコウゴ</t>
    </rPh>
    <rPh sb="117" eb="119">
      <t>サクジョ</t>
    </rPh>
    <phoneticPr fontId="21"/>
  </si>
  <si>
    <t xml:space="preserve">・テスト仕様書の記載方法の確認　（「UT仕様書【参考】」シートを参照）
</t>
    <rPh sb="4" eb="6">
      <t>シヨウ</t>
    </rPh>
    <rPh sb="6" eb="7">
      <t>ショ</t>
    </rPh>
    <rPh sb="8" eb="10">
      <t>キサイ</t>
    </rPh>
    <rPh sb="32" eb="34">
      <t>サンショウ</t>
    </rPh>
    <phoneticPr fontId="5"/>
  </si>
  <si>
    <t xml:space="preserve">画面レイアウト（ラベル文字、一覧表レイアウト、ボタン配置等）、画面サイズ、画面タイトル、Webページダイアログ（画面名を表示）が定義通りであることを確認。
</t>
    <rPh sb="0" eb="2">
      <t>ガメン</t>
    </rPh>
    <rPh sb="28" eb="29">
      <t>トウ</t>
    </rPh>
    <rPh sb="31" eb="33">
      <t>ガメン</t>
    </rPh>
    <rPh sb="37" eb="39">
      <t>ガメン</t>
    </rPh>
    <rPh sb="56" eb="59">
      <t>ガメンメイ</t>
    </rPh>
    <rPh sb="60" eb="62">
      <t>ヒョウジ</t>
    </rPh>
    <rPh sb="64" eb="66">
      <t>テイギ</t>
    </rPh>
    <rPh sb="66" eb="67">
      <t>ドオ</t>
    </rPh>
    <rPh sb="74" eb="76">
      <t>カクニン</t>
    </rPh>
    <phoneticPr fontId="2"/>
  </si>
  <si>
    <t xml:space="preserve">・テキストボックスに設定された最大入力桁数と、実際にテキストボックスに表示可能な桁数（改行やスクロールバーによる制御）が考慮されていること。
</t>
    <rPh sb="10" eb="12">
      <t>セッテイ</t>
    </rPh>
    <rPh sb="15" eb="17">
      <t>サイダイ</t>
    </rPh>
    <rPh sb="17" eb="19">
      <t>ニュウリョク</t>
    </rPh>
    <rPh sb="19" eb="21">
      <t>ケタスウ</t>
    </rPh>
    <rPh sb="23" eb="25">
      <t>ジッサイ</t>
    </rPh>
    <rPh sb="35" eb="37">
      <t>ヒョウジ</t>
    </rPh>
    <rPh sb="37" eb="39">
      <t>カノウ</t>
    </rPh>
    <rPh sb="40" eb="42">
      <t>ケタスウ</t>
    </rPh>
    <rPh sb="43" eb="45">
      <t>カイギョウ</t>
    </rPh>
    <rPh sb="56" eb="58">
      <t>セイギョ</t>
    </rPh>
    <rPh sb="60" eb="62">
      <t>コウリョ</t>
    </rPh>
    <phoneticPr fontId="5"/>
  </si>
  <si>
    <t xml:space="preserve">・想定データが表示されているかの確認
(取得元テーブル・データ、記号、金額のカンマ、表示単位、日付、%表示、小数点のデータが想定通りに出力されていることも含む）
</t>
    <rPh sb="16" eb="18">
      <t>カクニン</t>
    </rPh>
    <rPh sb="42" eb="46">
      <t>ヒョウジタンイ</t>
    </rPh>
    <phoneticPr fontId="5"/>
  </si>
  <si>
    <t xml:space="preserve">・半角英数字項目に対する正確性の確認(半角英数字以外は入力不可)
・数値、金額項目に対する正確性の確認(数値以外は入力不可)
・日付項目に対する正確性の確認(日付(数字)以外が入力不可) 
⇒日付項目に対して、先頭、末尾について半角空白が入力不可であること、半角空白を削除してから日付チェックを行っていること。
</t>
    <rPh sb="6" eb="8">
      <t>コウモク</t>
    </rPh>
    <rPh sb="9" eb="10">
      <t>タイ</t>
    </rPh>
    <rPh sb="16" eb="18">
      <t>カクニン</t>
    </rPh>
    <rPh sb="37" eb="39">
      <t>キンガク</t>
    </rPh>
    <rPh sb="39" eb="41">
      <t>コウモク</t>
    </rPh>
    <rPh sb="42" eb="43">
      <t>タイ</t>
    </rPh>
    <rPh sb="66" eb="68">
      <t>コウモク</t>
    </rPh>
    <rPh sb="69" eb="70">
      <t>タイ</t>
    </rPh>
    <rPh sb="96" eb="98">
      <t>ヒヅケ</t>
    </rPh>
    <rPh sb="98" eb="100">
      <t>コウモク</t>
    </rPh>
    <rPh sb="101" eb="102">
      <t>タイ</t>
    </rPh>
    <phoneticPr fontId="5"/>
  </si>
  <si>
    <t>日付項目に半角空白が存在すると、表示処理にて日付変換ができずシステムエラーとなる。詳細はRT-RT-37776参照</t>
    <rPh sb="0" eb="2">
      <t>ヒヅケ</t>
    </rPh>
    <rPh sb="2" eb="4">
      <t>コウモク</t>
    </rPh>
    <phoneticPr fontId="2"/>
  </si>
  <si>
    <t xml:space="preserve">・最小最大数の確認(文字数、バイト数)
</t>
    <rPh sb="1" eb="3">
      <t>サイショウ</t>
    </rPh>
    <rPh sb="3" eb="5">
      <t>サイダイ</t>
    </rPh>
    <rPh sb="5" eb="6">
      <t>カズ</t>
    </rPh>
    <rPh sb="7" eb="9">
      <t>カクニン</t>
    </rPh>
    <rPh sb="10" eb="13">
      <t>モジスウ</t>
    </rPh>
    <phoneticPr fontId="5"/>
  </si>
  <si>
    <t xml:space="preserve">・端数処理の確認
計算時に端数処理をしている場合、設計書記載の端数処理方法であることの確認
</t>
    <rPh sb="1" eb="3">
      <t>ハスウ</t>
    </rPh>
    <rPh sb="3" eb="5">
      <t>ショリ</t>
    </rPh>
    <rPh sb="6" eb="8">
      <t>カクニン</t>
    </rPh>
    <phoneticPr fontId="5"/>
  </si>
  <si>
    <t xml:space="preserve">・抽出データ、処理対象データが０件の場合でもエラーとならないこと
・NULLの場合でもエラーとならないこと。
・算出項目が０の場合（分母、分子含む）でもエラーとならないこと。
</t>
    <rPh sb="1" eb="3">
      <t>チュウシュツ</t>
    </rPh>
    <rPh sb="7" eb="11">
      <t>ショリタイショウ</t>
    </rPh>
    <rPh sb="16" eb="17">
      <t>ケン</t>
    </rPh>
    <rPh sb="18" eb="20">
      <t>バアイ</t>
    </rPh>
    <phoneticPr fontId="5"/>
  </si>
  <si>
    <t xml:space="preserve">・Excel2007（開発時使用）およびその他のバージョン（対象行）のExcelの両方にて正常に表示されることを確認する
</t>
    <rPh sb="11" eb="16">
      <t>カイハツジシヨウ</t>
    </rPh>
    <rPh sb="22" eb="23">
      <t>タ</t>
    </rPh>
    <rPh sb="30" eb="33">
      <t>タイショウコウ</t>
    </rPh>
    <rPh sb="41" eb="43">
      <t>リョウホウ</t>
    </rPh>
    <rPh sb="45" eb="47">
      <t>セイジョウ</t>
    </rPh>
    <rPh sb="48" eb="50">
      <t>ヒョウジ</t>
    </rPh>
    <rPh sb="56" eb="58">
      <t>カクニン</t>
    </rPh>
    <phoneticPr fontId="5"/>
  </si>
  <si>
    <t>格付ワークフローに関わる検証を実施する場合、格付ステータス、作業者ロール、差戻しフラグを考慮したケースとなっていることを確認する。
例1）承認に関する仕様を変更した場合
1次承認者のみテストするのではなく、各権限による差異を考慮する
例2）差戻しに関する仕様を変更した場合
送付・承認時に差戻フラグに寄る差異を考慮する。</t>
    <rPh sb="60" eb="62">
      <t>カクニン</t>
    </rPh>
    <rPh sb="66" eb="67">
      <t>レイ</t>
    </rPh>
    <rPh sb="69" eb="71">
      <t>ショウニン</t>
    </rPh>
    <rPh sb="72" eb="73">
      <t>カン</t>
    </rPh>
    <rPh sb="75" eb="77">
      <t>シヨウ</t>
    </rPh>
    <rPh sb="78" eb="80">
      <t>ヘンコウ</t>
    </rPh>
    <rPh sb="82" eb="84">
      <t>バアイ</t>
    </rPh>
    <rPh sb="86" eb="90">
      <t>ジショウニンシャ</t>
    </rPh>
    <rPh sb="103" eb="104">
      <t>カク</t>
    </rPh>
    <rPh sb="104" eb="106">
      <t>ケンゲン</t>
    </rPh>
    <rPh sb="109" eb="111">
      <t>サイ</t>
    </rPh>
    <rPh sb="112" eb="114">
      <t>コウリョ</t>
    </rPh>
    <rPh sb="117" eb="118">
      <t>レイ</t>
    </rPh>
    <rPh sb="124" eb="125">
      <t>カン</t>
    </rPh>
    <rPh sb="127" eb="129">
      <t>シヨウ</t>
    </rPh>
    <rPh sb="130" eb="132">
      <t>ヘンコウ</t>
    </rPh>
    <rPh sb="134" eb="136">
      <t>バアイ</t>
    </rPh>
    <rPh sb="144" eb="146">
      <t>サシモドシ</t>
    </rPh>
    <rPh sb="150" eb="151">
      <t>ヨ</t>
    </rPh>
    <rPh sb="152" eb="154">
      <t>サイ</t>
    </rPh>
    <rPh sb="155" eb="157">
      <t>コウリョ</t>
    </rPh>
    <phoneticPr fontId="2"/>
  </si>
  <si>
    <r>
      <t>・モジュール修正箇所の全ステートメントが実行されるテストケースになっていること
・モジュール修正箇所に関連する全ての機能が無効になっていない（無影響確認）がテストケースに含まれていること
上記を作成および検証した</t>
    </r>
    <r>
      <rPr>
        <b/>
        <u/>
        <sz val="11"/>
        <rFont val="Meiryo UI"/>
        <family val="3"/>
        <charset val="128"/>
      </rPr>
      <t>担当者名</t>
    </r>
    <r>
      <rPr>
        <sz val="11"/>
        <rFont val="Meiryo UI"/>
        <family val="3"/>
        <charset val="128"/>
      </rPr>
      <t xml:space="preserve">を以下に記載する。
</t>
    </r>
    <rPh sb="6" eb="8">
      <t>シュウセイ</t>
    </rPh>
    <rPh sb="8" eb="10">
      <t>カショ</t>
    </rPh>
    <rPh sb="11" eb="12">
      <t>スベ</t>
    </rPh>
    <rPh sb="20" eb="22">
      <t>ジッコウ</t>
    </rPh>
    <rPh sb="46" eb="48">
      <t>シュウセイ</t>
    </rPh>
    <rPh sb="48" eb="50">
      <t>カショ</t>
    </rPh>
    <rPh sb="51" eb="53">
      <t>カンレン</t>
    </rPh>
    <rPh sb="55" eb="56">
      <t>スベ</t>
    </rPh>
    <rPh sb="58" eb="60">
      <t>キノウ</t>
    </rPh>
    <rPh sb="61" eb="63">
      <t>ムコウ</t>
    </rPh>
    <rPh sb="71" eb="72">
      <t>ム</t>
    </rPh>
    <rPh sb="72" eb="74">
      <t>エイキョウ</t>
    </rPh>
    <rPh sb="74" eb="76">
      <t>カクニン</t>
    </rPh>
    <rPh sb="85" eb="86">
      <t>フク</t>
    </rPh>
    <rPh sb="94" eb="96">
      <t>ジョウキ</t>
    </rPh>
    <rPh sb="97" eb="99">
      <t>サクセイ</t>
    </rPh>
    <rPh sb="102" eb="104">
      <t>ケンショウ</t>
    </rPh>
    <rPh sb="106" eb="108">
      <t>タントウ</t>
    </rPh>
    <rPh sb="108" eb="109">
      <t>シャ</t>
    </rPh>
    <rPh sb="109" eb="110">
      <t>メイ</t>
    </rPh>
    <rPh sb="111" eb="113">
      <t>イカ</t>
    </rPh>
    <rPh sb="114" eb="116">
      <t>キサイ</t>
    </rPh>
    <phoneticPr fontId="3"/>
  </si>
  <si>
    <r>
      <t>上記を作成および検証した</t>
    </r>
    <r>
      <rPr>
        <b/>
        <u/>
        <sz val="11"/>
        <rFont val="Meiryo UI"/>
        <family val="3"/>
        <charset val="128"/>
      </rPr>
      <t>担当者名</t>
    </r>
    <r>
      <rPr>
        <sz val="11"/>
        <rFont val="Meiryo UI"/>
        <family val="3"/>
        <charset val="128"/>
      </rPr>
      <t xml:space="preserve">を以下に記載する。
</t>
    </r>
    <rPh sb="0" eb="2">
      <t>ジョウキ</t>
    </rPh>
    <rPh sb="3" eb="5">
      <t>サクセイ</t>
    </rPh>
    <rPh sb="8" eb="10">
      <t>ケンショウ</t>
    </rPh>
    <rPh sb="12" eb="14">
      <t>タントウ</t>
    </rPh>
    <rPh sb="14" eb="15">
      <t>シャ</t>
    </rPh>
    <rPh sb="15" eb="16">
      <t>メイ</t>
    </rPh>
    <rPh sb="17" eb="19">
      <t>イカ</t>
    </rPh>
    <rPh sb="20" eb="22">
      <t>キサイ</t>
    </rPh>
    <phoneticPr fontId="3"/>
  </si>
  <si>
    <t xml:space="preserve">・exe.logの確認がケースに含まれているか確認
※三島信用金庫の統合DBの場合、extra.logの確認も必要
（統合DBをまだ使用しているか確認）
</t>
    <rPh sb="9" eb="11">
      <t>カクニン</t>
    </rPh>
    <rPh sb="16" eb="17">
      <t>フク</t>
    </rPh>
    <rPh sb="27" eb="29">
      <t>ミシマ</t>
    </rPh>
    <rPh sb="29" eb="31">
      <t>シンヨウ</t>
    </rPh>
    <rPh sb="31" eb="33">
      <t>キンコ</t>
    </rPh>
    <rPh sb="34" eb="36">
      <t>トウゴウ</t>
    </rPh>
    <rPh sb="39" eb="41">
      <t>バアイ</t>
    </rPh>
    <rPh sb="52" eb="54">
      <t>カクニン</t>
    </rPh>
    <rPh sb="55" eb="57">
      <t>ヒツヨウ</t>
    </rPh>
    <phoneticPr fontId="5"/>
  </si>
  <si>
    <t xml:space="preserve">・全コンパイルを実施した際は、全画面打鍵の実施がテストケースに含まれていることを確認
・全画面打鍵を実施する際は、OneDrive上に管理されている全画面打鍵仕様書が最新であることを確認した上で使用する
※全画面仕様書名：全画面・帳票確認チェックリスト（XX銀行）.xls
</t>
    <phoneticPr fontId="46"/>
  </si>
  <si>
    <t>5-5</t>
    <phoneticPr fontId="21"/>
  </si>
  <si>
    <t>設定ファイルの修正要否</t>
    <rPh sb="0" eb="2">
      <t>セッテイ</t>
    </rPh>
    <rPh sb="7" eb="9">
      <t>シュウセイ</t>
    </rPh>
    <rPh sb="9" eb="11">
      <t>ヨウヒ</t>
    </rPh>
    <phoneticPr fontId="21"/>
  </si>
  <si>
    <t>マスタ修正の際に確認</t>
    <rPh sb="3" eb="5">
      <t>シュウセイ</t>
    </rPh>
    <rPh sb="6" eb="7">
      <t>サイ</t>
    </rPh>
    <rPh sb="8" eb="10">
      <t>カクニン</t>
    </rPh>
    <phoneticPr fontId="21"/>
  </si>
  <si>
    <t>マスタ修正をする場合、修正する値が設定ファイル（.xml、.config）で使用されていないか、修正前の値でもGrepして確認する。
これは、コード値だけではなく金額なども含まれる。</t>
    <phoneticPr fontId="21"/>
  </si>
  <si>
    <t xml:space="preserve">対応漏れが発生する可能性がある。
以下のIQM参照。
RT-RT-72737 設定定義書登録(Ｓ票) 京都中央信用金庫 専決判定で使用される金額バーの設定値変更対応 </t>
    <rPh sb="0" eb="3">
      <t>タイオウモ</t>
    </rPh>
    <rPh sb="5" eb="7">
      <t>ハッセイ</t>
    </rPh>
    <rPh sb="9" eb="12">
      <t>カノウセイ</t>
    </rPh>
    <phoneticPr fontId="21"/>
  </si>
  <si>
    <t xml:space="preserve">マスタ修正の際に設定ファイルを修正する必要があるかを確認する項目を追加。
設定ファイルにも修正が必要だった要件が以下あった。
RT-RT-72737 設定定義書登録(Ｓ票) 京都中央信用金庫 専決判定で使用される金額バーの設定値変更対応 </t>
    <rPh sb="3" eb="5">
      <t>シュウセイ</t>
    </rPh>
    <rPh sb="6" eb="7">
      <t>サイ</t>
    </rPh>
    <rPh sb="8" eb="10">
      <t>セッテイ</t>
    </rPh>
    <rPh sb="15" eb="17">
      <t>シュウセイ</t>
    </rPh>
    <rPh sb="19" eb="21">
      <t>ヒツヨウ</t>
    </rPh>
    <rPh sb="26" eb="28">
      <t>カクニン</t>
    </rPh>
    <rPh sb="30" eb="32">
      <t>コウモク</t>
    </rPh>
    <rPh sb="33" eb="35">
      <t>ツイカ</t>
    </rPh>
    <rPh sb="37" eb="39">
      <t>セッテイ</t>
    </rPh>
    <rPh sb="45" eb="47">
      <t>シュウセイ</t>
    </rPh>
    <rPh sb="48" eb="50">
      <t>ヒツヨウ</t>
    </rPh>
    <rPh sb="53" eb="55">
      <t>ヨウケン</t>
    </rPh>
    <rPh sb="56" eb="58">
      <t>イカ</t>
    </rPh>
    <phoneticPr fontId="2"/>
  </si>
  <si>
    <t>梁</t>
    <phoneticPr fontId="61"/>
  </si>
  <si>
    <t>Y</t>
  </si>
  <si>
    <t>N</t>
  </si>
  <si>
    <t>対象外</t>
    <rPh sb="0" eb="2">
      <t>タイショウ</t>
    </rPh>
    <phoneticPr fontId="2"/>
  </si>
  <si>
    <t>帳票がありません。</t>
  </si>
  <si>
    <t>計算処理がありません。</t>
  </si>
  <si>
    <t>使用しない</t>
    <rPh sb="0" eb="2">
      <t>シヨウ</t>
    </rPh>
    <phoneticPr fontId="2"/>
  </si>
  <si>
    <t>概況画面</t>
    <phoneticPr fontId="6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</si>
</sst>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7" formatCode="&quot;¥&quot;#,##0;[Red]&quot;¥&quot;\-#,##0"/>
    <numFmt numFmtId="179" formatCode="&quot;¥&quot;#,##0.00;[Red]&quot;¥&quot;\-#,##0.00"/>
    <numFmt numFmtId="181" formatCode="_ * #,##0_ ;_ * \-#,##0_ ;_ * &quot;-&quot;_ ;_ @_ "/>
    <numFmt numFmtId="184" formatCode="yyyy/mm/dd"/>
    <numFmt numFmtId="185" formatCode="0.0"/>
    <numFmt numFmtId="186" formatCode="[&lt;=999]000;[&lt;=9999]000\-00;000\-0000"/>
    <numFmt numFmtId="187" formatCode="0_);[Red]\(0\)"/>
    <numFmt numFmtId="188" formatCode="m/d"/>
    <numFmt numFmtId="189" formatCode="&quot;$&quot;#,##0_);[Red]\(&quot;$&quot;#,##0\)"/>
    <numFmt numFmtId="190" formatCode="&quot;$&quot;#,##0.00_);[Red]\(&quot;$&quot;#,##0.00\)"/>
    <numFmt numFmtId="191" formatCode="\t#,##0.00_);\(\t#,##0.00\)"/>
    <numFmt numFmtId="192" formatCode="0_ "/>
  </numFmts>
  <fonts count="76">
    <font>
      <sz val="11"/>
      <color theme="1"/>
      <name val="宋体"/>
      <family val="3"/>
      <charset val="128"/>
      <scheme val="minor"/>
    </font>
    <font>
      <sz val="11"/>
      <color indexed="8"/>
      <name val="ＭＳ Ｐゴシック"/>
      <family val="3"/>
      <charset val="128"/>
    </font>
    <font>
      <sz val="6"/>
      <name val="ＭＳ Ｐゴシック"/>
      <family val="3"/>
      <charset val="128"/>
    </font>
    <font>
      <sz val="6"/>
      <name val="ＭＳ Ｐゴシック"/>
      <family val="3"/>
      <charset val="128"/>
    </font>
    <font>
      <sz val="10"/>
      <name val="ＭＳ ゴシック"/>
      <family val="3"/>
      <charset val="128"/>
    </font>
    <font>
      <sz val="9"/>
      <name val="ＭＳ ゴシック"/>
      <family val="3"/>
      <charset val="128"/>
    </font>
    <font>
      <sz val="6"/>
      <name val="ＭＳ Ｐゴシック"/>
      <family val="3"/>
      <charset val="128"/>
    </font>
    <font>
      <sz val="11"/>
      <name val="ＭＳ Ｐゴシック"/>
      <family val="3"/>
      <charset val="128"/>
    </font>
    <font>
      <sz val="11"/>
      <name val="ＭＳ ゴシック"/>
      <family val="3"/>
      <charset val="128"/>
    </font>
    <font>
      <sz val="6"/>
      <name val="ＭＳ Ｐゴシック"/>
      <family val="3"/>
      <charset val="128"/>
    </font>
    <font>
      <sz val="11"/>
      <name val="Meiryo UI"/>
      <family val="3"/>
      <charset val="128"/>
    </font>
    <font>
      <sz val="6"/>
      <name val="ＭＳ Ｐゴシック"/>
      <family val="3"/>
      <charset val="128"/>
    </font>
    <font>
      <sz val="9"/>
      <name val="Meiryo UI"/>
      <family val="3"/>
      <charset val="128"/>
    </font>
    <font>
      <sz val="8"/>
      <name val="Meiryo UI"/>
      <family val="3"/>
      <charset val="128"/>
    </font>
    <font>
      <sz val="11"/>
      <color indexed="10"/>
      <name val="Meiryo UI"/>
      <family val="3"/>
      <charset val="128"/>
    </font>
    <font>
      <sz val="6"/>
      <name val="ＭＳ Ｐゴシック"/>
      <family val="3"/>
      <charset val="128"/>
    </font>
    <font>
      <sz val="12"/>
      <name val="Meiryo UI"/>
      <family val="3"/>
      <charset val="128"/>
    </font>
    <font>
      <sz val="11"/>
      <color indexed="8"/>
      <name val="Meiryo UI"/>
      <family val="3"/>
      <charset val="128"/>
    </font>
    <font>
      <b/>
      <u/>
      <sz val="11"/>
      <color indexed="8"/>
      <name val="Meiryo UI"/>
      <family val="3"/>
      <charset val="128"/>
    </font>
    <font>
      <b/>
      <sz val="11"/>
      <name val="Meiryo UI"/>
      <family val="3"/>
      <charset val="128"/>
    </font>
    <font>
      <strike/>
      <sz val="11"/>
      <color indexed="10"/>
      <name val="Meiryo UI"/>
      <family val="3"/>
      <charset val="128"/>
    </font>
    <font>
      <sz val="6"/>
      <name val="ＭＳ Ｐゴシック"/>
      <family val="3"/>
      <charset val="128"/>
    </font>
    <font>
      <strike/>
      <sz val="9"/>
      <name val="Meiryo UI"/>
      <family val="3"/>
      <charset val="128"/>
    </font>
    <font>
      <sz val="11"/>
      <color indexed="10"/>
      <name val="ＭＳ Ｐゴシック"/>
      <family val="3"/>
      <charset val="128"/>
    </font>
    <font>
      <b/>
      <sz val="11"/>
      <color indexed="8"/>
      <name val="ＭＳ Ｐゴシック"/>
      <family val="3"/>
      <charset val="128"/>
    </font>
    <font>
      <sz val="6"/>
      <name val="ＭＳ Ｐゴシック"/>
      <family val="3"/>
      <charset val="128"/>
    </font>
    <font>
      <sz val="10"/>
      <name val="ＭＳ Ｐゴシック"/>
      <family val="3"/>
      <charset val="128"/>
    </font>
    <font>
      <b/>
      <sz val="12"/>
      <name val="ＭＳ Ｐゴシック"/>
      <family val="3"/>
      <charset val="128"/>
    </font>
    <font>
      <b/>
      <sz val="10"/>
      <name val="ＭＳ Ｐゴシック"/>
      <family val="3"/>
      <charset val="128"/>
    </font>
    <font>
      <sz val="9"/>
      <name val="ＭＳ Ｐゴシック"/>
      <family val="3"/>
      <charset val="128"/>
    </font>
    <font>
      <sz val="9"/>
      <name val="ＭＳ 明朝"/>
      <family val="1"/>
      <charset val="128"/>
    </font>
    <font>
      <b/>
      <sz val="11"/>
      <color indexed="10"/>
      <name val="ＭＳ Ｐゴシック"/>
      <family val="3"/>
      <charset val="128"/>
    </font>
    <font>
      <sz val="11"/>
      <color indexed="13"/>
      <name val="ＭＳ Ｐゴシック"/>
      <family val="3"/>
      <charset val="128"/>
    </font>
    <font>
      <b/>
      <sz val="11"/>
      <color indexed="36"/>
      <name val="ＭＳ Ｐゴシック"/>
      <family val="3"/>
      <charset val="128"/>
    </font>
    <font>
      <sz val="11"/>
      <name val="ＭＳ 明朝"/>
      <family val="1"/>
      <charset val="128"/>
    </font>
    <font>
      <sz val="11"/>
      <name val="明朝"/>
      <family val="1"/>
      <charset val="128"/>
    </font>
    <font>
      <sz val="8"/>
      <name val="Arial"/>
      <family val="2"/>
    </font>
    <font>
      <b/>
      <sz val="12"/>
      <name val="Arial"/>
      <family val="2"/>
    </font>
    <font>
      <sz val="10"/>
      <name val="MS Sans Serif"/>
      <family val="2"/>
    </font>
    <font>
      <sz val="10"/>
      <name val="Arial"/>
      <family val="2"/>
    </font>
    <font>
      <sz val="12"/>
      <name val="Osaka"/>
      <family val="3"/>
      <charset val="128"/>
    </font>
    <font>
      <sz val="14"/>
      <name val="ＭＳ 明朝"/>
      <family val="1"/>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b/>
      <sz val="9"/>
      <name val="ＭＳ Ｐゴシック"/>
      <family val="3"/>
      <charset val="128"/>
    </font>
    <font>
      <sz val="10"/>
      <name val="ＭＳ 明朝"/>
      <family val="1"/>
      <charset val="128"/>
    </font>
    <font>
      <sz val="9"/>
      <name val="宋体"/>
      <family val="3"/>
      <charset val="134"/>
    </font>
    <font>
      <b/>
      <sz val="9"/>
      <name val="ＭＳ ゴシック"/>
      <family val="3"/>
      <charset val="128"/>
    </font>
    <font>
      <b/>
      <u/>
      <sz val="16"/>
      <name val="ＭＳ Ｐゴシック"/>
      <family val="3"/>
      <charset val="128"/>
    </font>
    <font>
      <b/>
      <sz val="16"/>
      <name val="ＭＳ Ｐゴシック"/>
      <family val="3"/>
      <charset val="128"/>
    </font>
    <font>
      <b/>
      <u/>
      <sz val="16"/>
      <name val="Meiryo UI"/>
      <family val="3"/>
      <charset val="128"/>
    </font>
    <font>
      <sz val="6"/>
      <name val="ＭＳ Ｐゴシック"/>
      <family val="3"/>
      <charset val="128"/>
    </font>
    <font>
      <b/>
      <sz val="16"/>
      <name val="Meiryo UI"/>
      <family val="3"/>
      <charset val="128"/>
    </font>
    <font>
      <b/>
      <sz val="12"/>
      <name val="Meiryo UI"/>
      <family val="3"/>
      <charset val="128"/>
    </font>
    <font>
      <sz val="9"/>
      <color indexed="8"/>
      <name val="Meiryo UI"/>
      <family val="3"/>
      <charset val="128"/>
    </font>
    <font>
      <b/>
      <sz val="9"/>
      <name val="Meiryo UI"/>
      <family val="3"/>
      <charset val="128"/>
    </font>
    <font>
      <sz val="6"/>
      <name val="ＭＳ Ｐゴシック"/>
      <family val="3"/>
      <charset val="128"/>
    </font>
    <font>
      <b/>
      <u/>
      <sz val="11"/>
      <name val="Meiryo UI"/>
      <family val="3"/>
      <charset val="128"/>
    </font>
    <font>
      <strike/>
      <sz val="11"/>
      <name val="Meiryo UI"/>
      <family val="3"/>
      <charset val="128"/>
    </font>
    <font>
      <sz val="11"/>
      <color theme="1"/>
      <name val="宋体"/>
      <family val="3"/>
      <charset val="128"/>
      <scheme val="minor"/>
    </font>
    <font>
      <sz val="11"/>
      <color theme="1"/>
      <name val="Meiryo UI"/>
      <family val="3"/>
      <charset val="128"/>
    </font>
    <font>
      <sz val="12"/>
      <color theme="1"/>
      <name val="Meiryo UI"/>
      <family val="3"/>
      <charset val="128"/>
    </font>
    <font>
      <sz val="11"/>
      <color theme="0"/>
      <name val="Meiryo UI"/>
      <family val="3"/>
      <charset val="128"/>
    </font>
    <font>
      <sz val="11"/>
      <color rgb="FFFF0000"/>
      <name val="Meiryo UI"/>
      <family val="3"/>
      <charset val="128"/>
    </font>
    <font>
      <sz val="9"/>
      <color rgb="FFFF0000"/>
      <name val="Meiryo UI"/>
      <family val="3"/>
      <charset val="128"/>
    </font>
    <font>
      <sz val="10"/>
      <color theme="1"/>
      <name val="Meiryo UI"/>
      <family val="3"/>
      <charset val="128"/>
    </font>
    <font>
      <b/>
      <sz val="10"/>
      <color theme="1"/>
      <name val="Meiryo UI"/>
      <family val="3"/>
      <charset val="128"/>
    </font>
    <font>
      <b/>
      <sz val="12"/>
      <color theme="1"/>
      <name val="Meiryo UI"/>
      <family val="3"/>
      <charset val="128"/>
    </font>
    <font>
      <sz val="9"/>
      <color theme="1"/>
      <name val="Meiryo UI"/>
      <family val="3"/>
      <charset val="128"/>
    </font>
    <font>
      <sz val="11"/>
      <name val="宋体"/>
      <family val="3"/>
      <charset val="128"/>
      <scheme val="minor"/>
    </font>
    <font>
      <b/>
      <sz val="11"/>
      <color theme="1"/>
      <name val="Meiryo UI"/>
      <family val="3"/>
      <charset val="128"/>
    </font>
  </fonts>
  <fills count="2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7"/>
        <bgColor indexed="64"/>
      </patternFill>
    </fill>
    <fill>
      <patternFill patternType="solid">
        <fgColor indexed="27"/>
        <bgColor indexed="64"/>
      </patternFill>
    </fill>
    <fill>
      <patternFill patternType="solid">
        <fgColor indexed="8"/>
        <bgColor indexed="64"/>
      </patternFill>
    </fill>
    <fill>
      <patternFill patternType="solid">
        <fgColor indexed="12"/>
        <bgColor indexed="64"/>
      </patternFill>
    </fill>
    <fill>
      <patternFill patternType="solid">
        <fgColor indexed="42"/>
        <bgColor indexed="64"/>
      </patternFill>
    </fill>
    <fill>
      <patternFill patternType="solid">
        <fgColor indexed="43"/>
        <bgColor indexed="64"/>
      </patternFill>
    </fill>
    <fill>
      <patternFill patternType="solid">
        <fgColor indexed="44"/>
        <bgColor indexed="64"/>
      </patternFill>
    </fill>
    <fill>
      <patternFill patternType="solid">
        <fgColor indexed="10"/>
        <bgColor indexed="64"/>
      </patternFill>
    </fill>
    <fill>
      <patternFill patternType="solid">
        <fgColor indexed="51"/>
        <bgColor indexed="64"/>
      </patternFill>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bgColor indexed="64"/>
      </patternFill>
    </fill>
    <fill>
      <patternFill patternType="solid">
        <fgColor rgb="FFBFBFBF"/>
        <bgColor indexed="64"/>
      </patternFill>
    </fill>
    <fill>
      <patternFill patternType="solid">
        <fgColor rgb="FFF3F3F3"/>
        <bgColor indexed="64"/>
      </patternFill>
    </fill>
    <fill>
      <patternFill patternType="solid">
        <fgColor rgb="FF6BAACC"/>
        <bgColor indexed="64"/>
      </patternFill>
    </fill>
    <fill>
      <patternFill patternType="solid">
        <fgColor theme="3" tint="-0.249977111117893"/>
        <bgColor indexed="64"/>
      </patternFill>
    </fill>
    <fill>
      <patternFill patternType="solid">
        <fgColor theme="8" tint="-0.249977111117893"/>
        <bgColor indexed="64"/>
      </patternFill>
    </fill>
    <fill>
      <patternFill patternType="solid">
        <fgColor rgb="FFFFAAAA"/>
        <bgColor indexed="64"/>
      </patternFill>
    </fill>
    <fill>
      <patternFill patternType="solid">
        <fgColor rgb="FF5FA7CF"/>
        <bgColor indexed="64"/>
      </patternFill>
    </fill>
    <fill>
      <patternFill patternType="solid">
        <fgColor rgb="FFFA6501"/>
        <bgColor indexed="64"/>
      </patternFill>
    </fill>
    <fill>
      <patternFill patternType="solid">
        <fgColor rgb="FFE6F0ED"/>
        <bgColor indexed="64"/>
      </patternFill>
    </fill>
  </fills>
  <borders count="91">
    <border>
      <left/>
      <right/>
      <top/>
      <bottom/>
      <diagonal/>
    </border>
    <border>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hair">
        <color indexed="64"/>
      </top>
      <bottom style="hair">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style="hair">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hair">
        <color indexed="64"/>
      </left>
      <right style="hair">
        <color indexed="64"/>
      </right>
      <top style="thin">
        <color indexed="64"/>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style="thin">
        <color indexed="64"/>
      </top>
      <bottom style="double">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bottom style="thin">
        <color indexed="64"/>
      </bottom>
      <diagonal/>
    </border>
    <border>
      <left/>
      <right/>
      <top style="hair">
        <color indexed="64"/>
      </top>
      <bottom style="thin">
        <color indexed="64"/>
      </bottom>
      <diagonal/>
    </border>
    <border>
      <left/>
      <right style="thin">
        <color indexed="64"/>
      </right>
      <top style="thin">
        <color indexed="64"/>
      </top>
      <bottom style="hair">
        <color indexed="64"/>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diagonalDown="1">
      <left style="medium">
        <color indexed="64"/>
      </left>
      <right/>
      <top style="thin">
        <color indexed="64"/>
      </top>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hair">
        <color indexed="64"/>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style="hair">
        <color indexed="64"/>
      </bottom>
      <diagonal/>
    </border>
    <border>
      <left style="thin">
        <color indexed="64"/>
      </left>
      <right style="hair">
        <color indexed="64"/>
      </right>
      <top/>
      <bottom/>
      <diagonal/>
    </border>
    <border>
      <left/>
      <right style="thin">
        <color indexed="64"/>
      </right>
      <top style="hair">
        <color indexed="64"/>
      </top>
      <bottom/>
      <diagonal/>
    </border>
  </borders>
  <cellStyleXfs count="44">
    <xf numFmtId="0" fontId="0" fillId="0" borderId="0">
      <alignment vertical="center"/>
    </xf>
    <xf numFmtId="0" fontId="34" fillId="0" borderId="0"/>
    <xf numFmtId="0" fontId="34" fillId="0" borderId="0"/>
    <xf numFmtId="181"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49" fontId="29" fillId="0" borderId="0" applyFill="0" applyBorder="0">
      <alignment horizontal="left"/>
    </xf>
    <xf numFmtId="49" fontId="29" fillId="0" borderId="1" applyFill="0" applyBorder="0">
      <alignment horizontal="left"/>
    </xf>
    <xf numFmtId="38" fontId="36" fillId="2" borderId="0" applyNumberFormat="0" applyBorder="0" applyAlignment="0" applyProtection="0"/>
    <xf numFmtId="0" fontId="37" fillId="0" borderId="2" applyNumberFormat="0" applyAlignment="0" applyProtection="0">
      <alignment horizontal="left" vertical="center"/>
    </xf>
    <xf numFmtId="0" fontId="37" fillId="0" borderId="3">
      <alignment horizontal="left" vertical="center"/>
    </xf>
    <xf numFmtId="0" fontId="4" fillId="0" borderId="0" applyBorder="0"/>
    <xf numFmtId="10" fontId="36" fillId="3" borderId="4" applyNumberFormat="0" applyBorder="0" applyAlignment="0" applyProtection="0"/>
    <xf numFmtId="0" fontId="4" fillId="0" borderId="0"/>
    <xf numFmtId="1" fontId="4" fillId="0" borderId="0" applyProtection="0">
      <protection locked="0"/>
    </xf>
    <xf numFmtId="38" fontId="38" fillId="0" borderId="0" applyFont="0" applyFill="0" applyBorder="0" applyAlignment="0" applyProtection="0"/>
    <xf numFmtId="40" fontId="38" fillId="0" borderId="0" applyFont="0" applyFill="0" applyBorder="0" applyAlignment="0" applyProtection="0"/>
    <xf numFmtId="189" fontId="38" fillId="0" borderId="0" applyFont="0" applyFill="0" applyBorder="0" applyAlignment="0" applyProtection="0"/>
    <xf numFmtId="190" fontId="38" fillId="0" borderId="0" applyFont="0" applyFill="0" applyBorder="0" applyAlignment="0" applyProtection="0"/>
    <xf numFmtId="191" fontId="35" fillId="0" borderId="0"/>
    <xf numFmtId="0" fontId="39" fillId="0" borderId="0"/>
    <xf numFmtId="10" fontId="39" fillId="0" borderId="0" applyFont="0" applyFill="0" applyBorder="0" applyAlignment="0" applyProtection="0"/>
    <xf numFmtId="9" fontId="7" fillId="0" borderId="0" applyFont="0" applyFill="0" applyBorder="0" applyAlignment="0" applyProtection="0"/>
    <xf numFmtId="0" fontId="7" fillId="0" borderId="5" applyNumberFormat="0" applyFont="0" applyFill="0" applyBorder="0" applyProtection="0">
      <alignment vertical="top" wrapText="1"/>
      <protection locked="0"/>
    </xf>
    <xf numFmtId="179" fontId="40" fillId="0" borderId="0" applyFont="0" applyFill="0" applyBorder="0" applyAlignment="0" applyProtection="0"/>
    <xf numFmtId="177" fontId="40" fillId="0" borderId="0" applyFont="0" applyFill="0" applyBorder="0" applyAlignment="0" applyProtection="0"/>
    <xf numFmtId="0" fontId="64" fillId="0" borderId="0">
      <alignment vertical="center"/>
    </xf>
    <xf numFmtId="0" fontId="64" fillId="0" borderId="0">
      <alignment vertical="center"/>
    </xf>
    <xf numFmtId="0" fontId="8" fillId="0" borderId="0"/>
    <xf numFmtId="0" fontId="7" fillId="0" borderId="0"/>
    <xf numFmtId="0" fontId="7" fillId="0" borderId="0"/>
    <xf numFmtId="0" fontId="7" fillId="0" borderId="0"/>
    <xf numFmtId="0" fontId="7" fillId="0" borderId="0">
      <alignment vertical="center"/>
    </xf>
    <xf numFmtId="0" fontId="7" fillId="0" borderId="0"/>
    <xf numFmtId="0" fontId="7" fillId="0" borderId="0"/>
    <xf numFmtId="0" fontId="7" fillId="0" borderId="0"/>
    <xf numFmtId="0" fontId="4" fillId="0" borderId="0">
      <alignment vertical="center"/>
    </xf>
    <xf numFmtId="0" fontId="1" fillId="0" borderId="0">
      <alignment vertical="center"/>
    </xf>
    <xf numFmtId="0" fontId="7" fillId="0" borderId="0">
      <alignment vertical="center"/>
    </xf>
    <xf numFmtId="0" fontId="4" fillId="0" borderId="0"/>
    <xf numFmtId="0" fontId="7" fillId="0" borderId="0"/>
    <xf numFmtId="49" fontId="23" fillId="0" borderId="6">
      <alignment vertical="top"/>
    </xf>
    <xf numFmtId="1" fontId="41" fillId="0" borderId="0"/>
  </cellStyleXfs>
  <cellXfs count="587">
    <xf numFmtId="0" fontId="0" fillId="0" borderId="0" xfId="0">
      <alignment vertical="center"/>
    </xf>
    <xf numFmtId="0" fontId="65" fillId="0" borderId="0" xfId="0" applyFont="1" applyAlignment="1">
      <alignment vertical="top"/>
    </xf>
    <xf numFmtId="0" fontId="65" fillId="0" borderId="4" xfId="0" applyFont="1" applyBorder="1" applyAlignment="1">
      <alignment vertical="top" wrapText="1"/>
    </xf>
    <xf numFmtId="0" fontId="65" fillId="0" borderId="0" xfId="0" applyFont="1" applyAlignment="1">
      <alignment horizontal="center" vertical="top"/>
    </xf>
    <xf numFmtId="0" fontId="66" fillId="0" borderId="4" xfId="0" applyFont="1" applyBorder="1" applyAlignment="1">
      <alignment horizontal="center" vertical="center" wrapText="1"/>
    </xf>
    <xf numFmtId="0" fontId="65" fillId="15" borderId="4" xfId="0" applyFont="1" applyFill="1" applyBorder="1" applyAlignment="1">
      <alignment vertical="top" wrapText="1"/>
    </xf>
    <xf numFmtId="0" fontId="65" fillId="16" borderId="7" xfId="0" applyFont="1" applyFill="1" applyBorder="1" applyAlignment="1">
      <alignment vertical="top" wrapText="1"/>
    </xf>
    <xf numFmtId="0" fontId="65" fillId="16" borderId="7" xfId="0" applyFont="1" applyFill="1" applyBorder="1" applyAlignment="1">
      <alignment horizontal="center" vertical="top" wrapText="1"/>
    </xf>
    <xf numFmtId="0" fontId="65" fillId="16" borderId="0" xfId="0" applyFont="1" applyFill="1" applyAlignment="1">
      <alignment horizontal="center" vertical="top" wrapText="1"/>
    </xf>
    <xf numFmtId="0" fontId="65" fillId="16" borderId="0" xfId="0" applyFont="1" applyFill="1" applyAlignment="1">
      <alignment vertical="top" wrapText="1"/>
    </xf>
    <xf numFmtId="0" fontId="65" fillId="16" borderId="8" xfId="0" applyFont="1" applyFill="1" applyBorder="1">
      <alignment vertical="center"/>
    </xf>
    <xf numFmtId="0" fontId="65" fillId="16" borderId="7" xfId="0" applyFont="1" applyFill="1" applyBorder="1">
      <alignment vertical="center"/>
    </xf>
    <xf numFmtId="0" fontId="65" fillId="17" borderId="9" xfId="0" applyFont="1" applyFill="1" applyBorder="1" applyAlignment="1">
      <alignment horizontal="center" vertical="top" wrapText="1"/>
    </xf>
    <xf numFmtId="0" fontId="65" fillId="17" borderId="9" xfId="0" applyFont="1" applyFill="1" applyBorder="1" applyAlignment="1">
      <alignment horizontal="center" vertical="top"/>
    </xf>
    <xf numFmtId="0" fontId="65" fillId="0" borderId="10" xfId="0" applyFont="1" applyBorder="1" applyAlignment="1">
      <alignment vertical="top" wrapText="1"/>
    </xf>
    <xf numFmtId="0" fontId="65" fillId="0" borderId="0" xfId="0" applyFont="1" applyAlignment="1">
      <alignment vertical="top" wrapText="1"/>
    </xf>
    <xf numFmtId="0" fontId="66" fillId="0" borderId="0" xfId="0" applyFont="1" applyAlignment="1">
      <alignment horizontal="center" vertical="center" wrapText="1"/>
    </xf>
    <xf numFmtId="0" fontId="65" fillId="15" borderId="0" xfId="0" applyFont="1" applyFill="1" applyAlignment="1">
      <alignment vertical="top" wrapText="1"/>
    </xf>
    <xf numFmtId="0" fontId="65" fillId="0" borderId="11" xfId="0" applyFont="1" applyBorder="1" applyAlignment="1">
      <alignment horizontal="center" vertical="center" wrapText="1"/>
    </xf>
    <xf numFmtId="14" fontId="65" fillId="0" borderId="11" xfId="0" applyNumberFormat="1" applyFont="1" applyBorder="1" applyAlignment="1">
      <alignment horizontal="center" vertical="center" wrapText="1"/>
    </xf>
    <xf numFmtId="0" fontId="65" fillId="18" borderId="11" xfId="0" applyFont="1" applyFill="1" applyBorder="1" applyAlignment="1">
      <alignment horizontal="center" vertical="center" wrapText="1"/>
    </xf>
    <xf numFmtId="0" fontId="65" fillId="18" borderId="4" xfId="0" applyFont="1" applyFill="1" applyBorder="1" applyAlignment="1">
      <alignment horizontal="center" vertical="center" wrapText="1"/>
    </xf>
    <xf numFmtId="0" fontId="65" fillId="0" borderId="4" xfId="0" applyFont="1" applyBorder="1" applyAlignment="1">
      <alignment horizontal="center" vertical="center" wrapText="1"/>
    </xf>
    <xf numFmtId="0" fontId="65" fillId="0" borderId="12" xfId="0" applyFont="1" applyBorder="1" applyAlignment="1">
      <alignment vertical="top" wrapText="1"/>
    </xf>
    <xf numFmtId="0" fontId="65" fillId="0" borderId="13" xfId="0" applyFont="1" applyBorder="1" applyAlignment="1">
      <alignment vertical="top" wrapText="1"/>
    </xf>
    <xf numFmtId="0" fontId="65" fillId="0" borderId="14" xfId="0" applyFont="1" applyBorder="1" applyAlignment="1">
      <alignment vertical="top" wrapText="1"/>
    </xf>
    <xf numFmtId="0" fontId="67" fillId="0" borderId="0" xfId="0" applyFont="1" applyAlignment="1">
      <alignment vertical="top"/>
    </xf>
    <xf numFmtId="0" fontId="10" fillId="0" borderId="14" xfId="0" applyFont="1" applyBorder="1" applyAlignment="1">
      <alignment vertical="top" wrapText="1"/>
    </xf>
    <xf numFmtId="0" fontId="10" fillId="0" borderId="4" xfId="0" applyFont="1" applyBorder="1" applyAlignment="1">
      <alignment vertical="top" wrapText="1"/>
    </xf>
    <xf numFmtId="0" fontId="10" fillId="0" borderId="13" xfId="0" applyFont="1" applyBorder="1" applyAlignment="1">
      <alignment vertical="top" wrapText="1"/>
    </xf>
    <xf numFmtId="0" fontId="10" fillId="0" borderId="15" xfId="0" applyFont="1" applyBorder="1" applyAlignment="1">
      <alignment vertical="top" wrapText="1"/>
    </xf>
    <xf numFmtId="0" fontId="12" fillId="6" borderId="14" xfId="40" applyFont="1" applyFill="1" applyBorder="1" applyAlignment="1">
      <alignment horizontal="center" vertical="center" wrapText="1"/>
    </xf>
    <xf numFmtId="14" fontId="12" fillId="6" borderId="14" xfId="40" applyNumberFormat="1" applyFont="1" applyFill="1" applyBorder="1" applyAlignment="1">
      <alignment horizontal="center" vertical="center" wrapText="1"/>
    </xf>
    <xf numFmtId="0" fontId="12" fillId="6" borderId="3" xfId="40" applyFont="1" applyFill="1" applyBorder="1" applyAlignment="1">
      <alignment horizontal="center" vertical="center" wrapText="1"/>
    </xf>
    <xf numFmtId="0" fontId="12" fillId="4" borderId="0" xfId="31" applyFont="1" applyFill="1" applyAlignment="1">
      <alignment vertical="center" wrapText="1"/>
    </xf>
    <xf numFmtId="0" fontId="12" fillId="6" borderId="15" xfId="40" applyFont="1" applyFill="1" applyBorder="1" applyAlignment="1">
      <alignment horizontal="center" vertical="center" wrapText="1"/>
    </xf>
    <xf numFmtId="14" fontId="12" fillId="6" borderId="15" xfId="40" applyNumberFormat="1" applyFont="1" applyFill="1" applyBorder="1" applyAlignment="1">
      <alignment horizontal="center" vertical="center" wrapText="1"/>
    </xf>
    <xf numFmtId="0" fontId="12" fillId="6" borderId="11" xfId="40" applyFont="1" applyFill="1" applyBorder="1" applyAlignment="1">
      <alignment horizontal="center" vertical="center" wrapText="1"/>
    </xf>
    <xf numFmtId="185" fontId="12" fillId="4" borderId="4" xfId="30" applyNumberFormat="1" applyFont="1" applyFill="1" applyBorder="1" applyAlignment="1">
      <alignment horizontal="center" vertical="center" wrapText="1"/>
    </xf>
    <xf numFmtId="184" fontId="12" fillId="4" borderId="4" xfId="30" applyNumberFormat="1" applyFont="1" applyFill="1" applyBorder="1" applyAlignment="1">
      <alignment horizontal="center" vertical="center" wrapText="1"/>
    </xf>
    <xf numFmtId="0" fontId="12" fillId="4" borderId="4" xfId="30" applyFont="1" applyFill="1" applyBorder="1" applyAlignment="1">
      <alignment horizontal="center" vertical="center" wrapText="1"/>
    </xf>
    <xf numFmtId="0" fontId="12" fillId="4" borderId="4" xfId="30" applyFont="1" applyFill="1" applyBorder="1" applyAlignment="1">
      <alignment horizontal="left" vertical="center" wrapText="1"/>
    </xf>
    <xf numFmtId="0" fontId="12" fillId="4" borderId="4" xfId="30" applyFont="1" applyFill="1" applyBorder="1" applyAlignment="1">
      <alignment vertical="center" wrapText="1"/>
    </xf>
    <xf numFmtId="0" fontId="12" fillId="4" borderId="0" xfId="30" applyFont="1" applyFill="1" applyAlignment="1">
      <alignment vertical="center" wrapText="1"/>
    </xf>
    <xf numFmtId="0" fontId="12" fillId="4" borderId="4" xfId="40" applyFont="1" applyFill="1" applyBorder="1" applyAlignment="1">
      <alignment horizontal="center" vertical="center" wrapText="1"/>
    </xf>
    <xf numFmtId="0" fontId="12" fillId="4" borderId="4" xfId="40" applyFont="1" applyFill="1" applyBorder="1" applyAlignment="1">
      <alignment horizontal="left" vertical="center" wrapText="1"/>
    </xf>
    <xf numFmtId="0" fontId="12" fillId="0" borderId="4" xfId="40" applyFont="1" applyBorder="1" applyAlignment="1">
      <alignment horizontal="left" vertical="center" wrapText="1"/>
    </xf>
    <xf numFmtId="0" fontId="12" fillId="4" borderId="0" xfId="40" applyFont="1" applyFill="1" applyAlignment="1">
      <alignment horizontal="center" vertical="center" wrapText="1"/>
    </xf>
    <xf numFmtId="14" fontId="12" fillId="4" borderId="0" xfId="40" applyNumberFormat="1" applyFont="1" applyFill="1" applyAlignment="1">
      <alignment horizontal="center" vertical="center" wrapText="1"/>
    </xf>
    <xf numFmtId="0" fontId="12" fillId="4" borderId="0" xfId="31" applyFont="1" applyFill="1" applyAlignment="1">
      <alignment horizontal="center" vertical="center" wrapText="1"/>
    </xf>
    <xf numFmtId="0" fontId="12" fillId="4" borderId="0" xfId="40" applyFont="1" applyFill="1" applyAlignment="1">
      <alignment horizontal="left" vertical="center" wrapText="1"/>
    </xf>
    <xf numFmtId="0" fontId="12" fillId="4" borderId="0" xfId="31" applyFont="1" applyFill="1" applyAlignment="1">
      <alignment horizontal="left" vertical="center" wrapText="1"/>
    </xf>
    <xf numFmtId="0" fontId="12" fillId="4" borderId="0" xfId="31" quotePrefix="1" applyFont="1" applyFill="1" applyAlignment="1">
      <alignment horizontal="left" vertical="center" wrapText="1"/>
    </xf>
    <xf numFmtId="0" fontId="12" fillId="4" borderId="0" xfId="31" applyFont="1" applyFill="1" applyAlignment="1">
      <alignment vertical="center"/>
    </xf>
    <xf numFmtId="0" fontId="12" fillId="4" borderId="0" xfId="40" quotePrefix="1" applyFont="1" applyFill="1" applyAlignment="1">
      <alignment horizontal="center" vertical="center" wrapText="1"/>
    </xf>
    <xf numFmtId="0" fontId="12" fillId="4" borderId="0" xfId="31" applyFont="1" applyFill="1" applyAlignment="1">
      <alignment horizontal="center" vertical="center"/>
    </xf>
    <xf numFmtId="14" fontId="12" fillId="4" borderId="0" xfId="31" applyNumberFormat="1" applyFont="1" applyFill="1" applyAlignment="1">
      <alignment horizontal="center" vertical="center"/>
    </xf>
    <xf numFmtId="49" fontId="12" fillId="4" borderId="0" xfId="31" applyNumberFormat="1" applyFont="1" applyFill="1" applyAlignment="1">
      <alignment vertical="center" wrapText="1"/>
    </xf>
    <xf numFmtId="49" fontId="12" fillId="4" borderId="0" xfId="31" applyNumberFormat="1" applyFont="1" applyFill="1" applyAlignment="1">
      <alignment vertical="center"/>
    </xf>
    <xf numFmtId="0" fontId="12" fillId="4" borderId="0" xfId="40" applyFont="1" applyFill="1" applyAlignment="1">
      <alignment vertical="center" wrapText="1"/>
    </xf>
    <xf numFmtId="0" fontId="12" fillId="4" borderId="0" xfId="40" applyFont="1" applyFill="1" applyAlignment="1">
      <alignment horizontal="center" vertical="center"/>
    </xf>
    <xf numFmtId="0" fontId="13" fillId="4" borderId="0" xfId="31" applyFont="1" applyFill="1" applyAlignment="1">
      <alignment horizontal="left" vertical="center" wrapText="1"/>
    </xf>
    <xf numFmtId="14" fontId="12" fillId="4" borderId="0" xfId="31" applyNumberFormat="1" applyFont="1" applyFill="1" applyAlignment="1">
      <alignment horizontal="center" vertical="center" wrapText="1"/>
    </xf>
    <xf numFmtId="0" fontId="12" fillId="4" borderId="0" xfId="32" applyFont="1" applyFill="1" applyAlignment="1">
      <alignment horizontal="center" vertical="center" wrapText="1"/>
    </xf>
    <xf numFmtId="14" fontId="12" fillId="4" borderId="0" xfId="32" applyNumberFormat="1" applyFont="1" applyFill="1" applyAlignment="1">
      <alignment horizontal="center" vertical="center" wrapText="1"/>
    </xf>
    <xf numFmtId="0" fontId="12" fillId="4" borderId="0" xfId="32" applyFont="1" applyFill="1" applyAlignment="1">
      <alignment vertical="center" wrapText="1"/>
    </xf>
    <xf numFmtId="0" fontId="10" fillId="4" borderId="0" xfId="33" applyFont="1" applyFill="1">
      <alignment vertical="center"/>
    </xf>
    <xf numFmtId="49" fontId="12" fillId="4" borderId="0" xfId="29" applyNumberFormat="1" applyFont="1" applyFill="1" applyAlignment="1">
      <alignment horizontal="left" vertical="center" wrapText="1"/>
    </xf>
    <xf numFmtId="56" fontId="12" fillId="4" borderId="4" xfId="30" quotePrefix="1" applyNumberFormat="1" applyFont="1" applyFill="1" applyBorder="1" applyAlignment="1">
      <alignment horizontal="left" vertical="center" wrapText="1"/>
    </xf>
    <xf numFmtId="0" fontId="68" fillId="0" borderId="4" xfId="0" applyFont="1" applyBorder="1" applyAlignment="1">
      <alignment vertical="top" wrapText="1"/>
    </xf>
    <xf numFmtId="56" fontId="12" fillId="4" borderId="4" xfId="40" applyNumberFormat="1" applyFont="1" applyFill="1" applyBorder="1" applyAlignment="1">
      <alignment horizontal="left" vertical="center" wrapText="1"/>
    </xf>
    <xf numFmtId="0" fontId="65" fillId="16" borderId="16" xfId="0" applyFont="1" applyFill="1" applyBorder="1" applyAlignment="1">
      <alignment horizontal="center" vertical="top"/>
    </xf>
    <xf numFmtId="0" fontId="65" fillId="0" borderId="0" xfId="0" applyFont="1">
      <alignment vertical="center"/>
    </xf>
    <xf numFmtId="0" fontId="67" fillId="19" borderId="4" xfId="0" applyFont="1" applyFill="1" applyBorder="1">
      <alignment vertical="center"/>
    </xf>
    <xf numFmtId="0" fontId="65" fillId="0" borderId="4" xfId="0" applyFont="1" applyBorder="1">
      <alignment vertical="center"/>
    </xf>
    <xf numFmtId="0" fontId="65" fillId="0" borderId="4" xfId="0" applyFont="1" applyBorder="1" applyAlignment="1">
      <alignment vertical="center" wrapText="1"/>
    </xf>
    <xf numFmtId="49" fontId="12" fillId="4" borderId="4" xfId="40" applyNumberFormat="1" applyFont="1" applyFill="1" applyBorder="1" applyAlignment="1">
      <alignment horizontal="left" vertical="center" wrapText="1"/>
    </xf>
    <xf numFmtId="0" fontId="68" fillId="15" borderId="4" xfId="0" applyFont="1" applyFill="1" applyBorder="1" applyAlignment="1">
      <alignment vertical="top" wrapText="1"/>
    </xf>
    <xf numFmtId="0" fontId="10" fillId="0" borderId="10" xfId="0" applyFont="1" applyBorder="1" applyAlignment="1">
      <alignment vertical="top" wrapText="1"/>
    </xf>
    <xf numFmtId="0" fontId="10" fillId="0" borderId="12" xfId="0" applyFont="1" applyBorder="1" applyAlignment="1">
      <alignment vertical="top" wrapText="1"/>
    </xf>
    <xf numFmtId="56" fontId="12" fillId="4" borderId="4" xfId="40" quotePrefix="1" applyNumberFormat="1" applyFont="1" applyFill="1" applyBorder="1" applyAlignment="1">
      <alignment horizontal="left" vertical="center" wrapText="1"/>
    </xf>
    <xf numFmtId="0" fontId="16" fillId="0" borderId="4" xfId="0" applyFont="1" applyBorder="1" applyAlignment="1">
      <alignment horizontal="center" vertical="center" wrapText="1"/>
    </xf>
    <xf numFmtId="0" fontId="10" fillId="15" borderId="4" xfId="0" applyFont="1" applyFill="1" applyBorder="1" applyAlignment="1">
      <alignment vertical="top" wrapText="1"/>
    </xf>
    <xf numFmtId="186" fontId="10" fillId="0" borderId="15" xfId="0" applyNumberFormat="1" applyFont="1" applyBorder="1" applyAlignment="1">
      <alignment vertical="top" wrapText="1"/>
    </xf>
    <xf numFmtId="0" fontId="10" fillId="0" borderId="11" xfId="0" applyFont="1" applyBorder="1" applyAlignment="1">
      <alignment vertical="top" wrapText="1"/>
    </xf>
    <xf numFmtId="0" fontId="65" fillId="18" borderId="11" xfId="0" applyFont="1" applyFill="1" applyBorder="1" applyAlignment="1">
      <alignment horizontal="left" vertical="center" wrapText="1"/>
    </xf>
    <xf numFmtId="0" fontId="12" fillId="0" borderId="4" xfId="40" applyFont="1" applyBorder="1" applyAlignment="1">
      <alignment horizontal="left" vertical="top" wrapText="1"/>
    </xf>
    <xf numFmtId="0" fontId="10" fillId="0" borderId="0" xfId="0" applyFont="1" applyAlignment="1">
      <alignment vertical="top"/>
    </xf>
    <xf numFmtId="0" fontId="10" fillId="0" borderId="0" xfId="0" applyFont="1" applyAlignment="1">
      <alignment horizontal="center" vertical="top"/>
    </xf>
    <xf numFmtId="0" fontId="10" fillId="18" borderId="11" xfId="0" applyFont="1" applyFill="1" applyBorder="1" applyAlignment="1">
      <alignment horizontal="center" vertical="center" wrapText="1"/>
    </xf>
    <xf numFmtId="0" fontId="10" fillId="18" borderId="4" xfId="0" applyFont="1" applyFill="1" applyBorder="1" applyAlignment="1">
      <alignment horizontal="center" vertical="center" wrapText="1"/>
    </xf>
    <xf numFmtId="0" fontId="16" fillId="0" borderId="0" xfId="0" applyFont="1" applyAlignment="1">
      <alignment horizontal="center" vertical="center" wrapText="1"/>
    </xf>
    <xf numFmtId="0" fontId="10" fillId="15" borderId="0" xfId="0" applyFont="1" applyFill="1" applyAlignment="1">
      <alignment vertical="top" wrapText="1"/>
    </xf>
    <xf numFmtId="14" fontId="10" fillId="0" borderId="11" xfId="0" applyNumberFormat="1" applyFont="1" applyBorder="1" applyAlignment="1">
      <alignment horizontal="center" vertical="center" wrapText="1"/>
    </xf>
    <xf numFmtId="0" fontId="10" fillId="0" borderId="11"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0" applyFont="1" applyAlignment="1">
      <alignment vertical="top" wrapText="1"/>
    </xf>
    <xf numFmtId="0" fontId="10" fillId="17" borderId="9" xfId="0" applyFont="1" applyFill="1" applyBorder="1" applyAlignment="1">
      <alignment horizontal="center" vertical="top" wrapText="1"/>
    </xf>
    <xf numFmtId="0" fontId="10" fillId="17" borderId="9" xfId="0" applyFont="1" applyFill="1" applyBorder="1" applyAlignment="1">
      <alignment horizontal="center" vertical="top"/>
    </xf>
    <xf numFmtId="0" fontId="10" fillId="16" borderId="8" xfId="0" applyFont="1" applyFill="1" applyBorder="1">
      <alignment vertical="center"/>
    </xf>
    <xf numFmtId="0" fontId="10" fillId="16" borderId="7" xfId="0" applyFont="1" applyFill="1" applyBorder="1">
      <alignment vertical="center"/>
    </xf>
    <xf numFmtId="0" fontId="10" fillId="16" borderId="7" xfId="0" applyFont="1" applyFill="1" applyBorder="1" applyAlignment="1">
      <alignment horizontal="center" vertical="top" wrapText="1"/>
    </xf>
    <xf numFmtId="0" fontId="10" fillId="16" borderId="7" xfId="0" applyFont="1" applyFill="1" applyBorder="1" applyAlignment="1">
      <alignment vertical="top" wrapText="1"/>
    </xf>
    <xf numFmtId="0" fontId="10" fillId="16" borderId="0" xfId="0" applyFont="1" applyFill="1" applyAlignment="1">
      <alignment horizontal="center" vertical="top" wrapText="1"/>
    </xf>
    <xf numFmtId="0" fontId="10" fillId="16" borderId="0" xfId="0" applyFont="1" applyFill="1" applyAlignment="1">
      <alignment vertical="top" wrapText="1"/>
    </xf>
    <xf numFmtId="0" fontId="10" fillId="0" borderId="11" xfId="0" applyFont="1" applyBorder="1" applyAlignment="1">
      <alignment horizontal="left" vertical="top" wrapText="1"/>
    </xf>
    <xf numFmtId="0" fontId="10" fillId="16" borderId="11" xfId="0" applyFont="1" applyFill="1" applyBorder="1">
      <alignment vertical="center"/>
    </xf>
    <xf numFmtId="0" fontId="10" fillId="16" borderId="3" xfId="0" applyFont="1" applyFill="1" applyBorder="1">
      <alignment vertical="center"/>
    </xf>
    <xf numFmtId="0" fontId="10" fillId="16" borderId="3" xfId="0" applyFont="1" applyFill="1" applyBorder="1" applyAlignment="1">
      <alignment horizontal="center" vertical="top" wrapText="1"/>
    </xf>
    <xf numFmtId="0" fontId="10" fillId="16" borderId="3" xfId="0" applyFont="1" applyFill="1" applyBorder="1" applyAlignment="1">
      <alignment vertical="top" wrapText="1"/>
    </xf>
    <xf numFmtId="0" fontId="10" fillId="0" borderId="17" xfId="0" applyFont="1" applyBorder="1" applyAlignment="1">
      <alignment vertical="top" wrapText="1"/>
    </xf>
    <xf numFmtId="0" fontId="68" fillId="0" borderId="0" xfId="0" applyFont="1" applyAlignment="1">
      <alignment vertical="top"/>
    </xf>
    <xf numFmtId="0" fontId="68" fillId="0" borderId="15" xfId="0" applyFont="1" applyBorder="1" applyAlignment="1">
      <alignment vertical="top" wrapText="1"/>
    </xf>
    <xf numFmtId="49" fontId="12" fillId="0" borderId="4" xfId="40" applyNumberFormat="1" applyFont="1" applyBorder="1" applyAlignment="1">
      <alignment horizontal="left" vertical="center" wrapText="1"/>
    </xf>
    <xf numFmtId="0" fontId="12" fillId="0" borderId="4" xfId="40" quotePrefix="1" applyFont="1" applyBorder="1" applyAlignment="1">
      <alignment horizontal="left" vertical="center" wrapText="1"/>
    </xf>
    <xf numFmtId="56" fontId="12" fillId="0" borderId="4" xfId="40" quotePrefix="1" applyNumberFormat="1" applyFont="1" applyBorder="1" applyAlignment="1">
      <alignment horizontal="left" vertical="center" wrapText="1"/>
    </xf>
    <xf numFmtId="0" fontId="10" fillId="16" borderId="16" xfId="0" applyFont="1" applyFill="1" applyBorder="1" applyAlignment="1">
      <alignment horizontal="center" vertical="top"/>
    </xf>
    <xf numFmtId="0" fontId="10" fillId="0" borderId="15" xfId="0" applyFont="1" applyBorder="1" applyAlignment="1">
      <alignment horizontal="left" vertical="top" wrapText="1"/>
    </xf>
    <xf numFmtId="0" fontId="12" fillId="4" borderId="4" xfId="40" quotePrefix="1" applyFont="1" applyFill="1" applyBorder="1" applyAlignment="1">
      <alignment horizontal="left" vertical="center" wrapText="1"/>
    </xf>
    <xf numFmtId="0" fontId="26" fillId="0" borderId="0" xfId="41" applyFont="1" applyAlignment="1">
      <alignment vertical="center"/>
    </xf>
    <xf numFmtId="49" fontId="30" fillId="4" borderId="4" xfId="41" applyNumberFormat="1" applyFont="1" applyFill="1" applyBorder="1" applyAlignment="1">
      <alignment horizontal="center" vertical="center" textRotation="255"/>
    </xf>
    <xf numFmtId="0" fontId="30" fillId="4" borderId="18" xfId="41" quotePrefix="1" applyFont="1" applyFill="1" applyBorder="1" applyAlignment="1">
      <alignment horizontal="center" vertical="center" textRotation="255"/>
    </xf>
    <xf numFmtId="0" fontId="30" fillId="0" borderId="0" xfId="41" applyFont="1" applyAlignment="1">
      <alignment vertical="center"/>
    </xf>
    <xf numFmtId="0" fontId="30" fillId="0" borderId="12" xfId="41" applyFont="1" applyBorder="1" applyAlignment="1">
      <alignment horizontal="center" vertical="center"/>
    </xf>
    <xf numFmtId="0" fontId="30" fillId="0" borderId="4" xfId="41" applyFont="1" applyBorder="1" applyAlignment="1">
      <alignment horizontal="center" vertical="center"/>
    </xf>
    <xf numFmtId="0" fontId="30" fillId="4" borderId="11" xfId="41" applyFont="1" applyFill="1" applyBorder="1" applyAlignment="1">
      <alignment horizontal="center" vertical="center"/>
    </xf>
    <xf numFmtId="0" fontId="30" fillId="4" borderId="18" xfId="41" applyFont="1" applyFill="1" applyBorder="1" applyAlignment="1">
      <alignment horizontal="center" vertical="center"/>
    </xf>
    <xf numFmtId="0" fontId="30" fillId="0" borderId="14" xfId="41" applyFont="1" applyBorder="1" applyAlignment="1">
      <alignment horizontal="center" vertical="center"/>
    </xf>
    <xf numFmtId="0" fontId="30" fillId="4" borderId="12" xfId="41" applyFont="1" applyFill="1" applyBorder="1" applyAlignment="1">
      <alignment horizontal="center" vertical="center"/>
    </xf>
    <xf numFmtId="0" fontId="30" fillId="4" borderId="19" xfId="41" applyFont="1" applyFill="1" applyBorder="1" applyAlignment="1">
      <alignment horizontal="center" vertical="center"/>
    </xf>
    <xf numFmtId="0" fontId="30" fillId="0" borderId="11" xfId="41" applyFont="1" applyBorder="1" applyAlignment="1">
      <alignment horizontal="center" vertical="center"/>
    </xf>
    <xf numFmtId="14" fontId="30" fillId="0" borderId="4" xfId="41" applyNumberFormat="1" applyFont="1" applyBorder="1" applyAlignment="1">
      <alignment horizontal="center" vertical="center" textRotation="180" wrapText="1"/>
    </xf>
    <xf numFmtId="188" fontId="30" fillId="0" borderId="4" xfId="41" applyNumberFormat="1" applyFont="1" applyBorder="1" applyAlignment="1">
      <alignment horizontal="center" vertical="center" wrapText="1"/>
    </xf>
    <xf numFmtId="188" fontId="30" fillId="0" borderId="11" xfId="41" applyNumberFormat="1" applyFont="1" applyBorder="1" applyAlignment="1">
      <alignment horizontal="center" vertical="center" wrapText="1"/>
    </xf>
    <xf numFmtId="188" fontId="30" fillId="0" borderId="18" xfId="41" applyNumberFormat="1" applyFont="1" applyBorder="1" applyAlignment="1">
      <alignment horizontal="center" vertical="center" wrapText="1"/>
    </xf>
    <xf numFmtId="0" fontId="30" fillId="0" borderId="18" xfId="41" applyFont="1" applyBorder="1" applyAlignment="1">
      <alignment horizontal="center" vertical="center"/>
    </xf>
    <xf numFmtId="0" fontId="30" fillId="0" borderId="20" xfId="41" applyFont="1" applyBorder="1" applyAlignment="1">
      <alignment vertical="center"/>
    </xf>
    <xf numFmtId="0" fontId="29" fillId="0" borderId="5" xfId="41" applyFont="1" applyBorder="1" applyAlignment="1">
      <alignment vertical="center"/>
    </xf>
    <xf numFmtId="0" fontId="29" fillId="0" borderId="5" xfId="41" applyFont="1" applyBorder="1" applyAlignment="1">
      <alignment horizontal="center" vertical="center"/>
    </xf>
    <xf numFmtId="0" fontId="29" fillId="0" borderId="21" xfId="41" applyFont="1" applyBorder="1" applyAlignment="1">
      <alignment horizontal="center" vertical="center"/>
    </xf>
    <xf numFmtId="0" fontId="29" fillId="0" borderId="0" xfId="41" applyFont="1" applyAlignment="1">
      <alignment vertical="center"/>
    </xf>
    <xf numFmtId="0" fontId="29" fillId="0" borderId="22" xfId="41" applyFont="1" applyBorder="1" applyAlignment="1">
      <alignment vertical="center"/>
    </xf>
    <xf numFmtId="0" fontId="29" fillId="0" borderId="23" xfId="41" applyFont="1" applyBorder="1" applyAlignment="1">
      <alignment vertical="center"/>
    </xf>
    <xf numFmtId="0" fontId="29" fillId="0" borderId="23" xfId="41" applyFont="1" applyBorder="1" applyAlignment="1">
      <alignment horizontal="center" vertical="center"/>
    </xf>
    <xf numFmtId="0" fontId="29" fillId="0" borderId="24" xfId="41" applyFont="1" applyBorder="1" applyAlignment="1">
      <alignment horizontal="center" vertical="center"/>
    </xf>
    <xf numFmtId="0" fontId="29" fillId="0" borderId="0" xfId="41" applyFont="1" applyAlignment="1">
      <alignment horizontal="center" vertical="center"/>
    </xf>
    <xf numFmtId="0" fontId="7" fillId="0" borderId="0" xfId="41" applyAlignment="1">
      <alignment vertical="center"/>
    </xf>
    <xf numFmtId="0" fontId="31" fillId="0" borderId="0" xfId="41" applyFont="1" applyAlignment="1">
      <alignment vertical="center"/>
    </xf>
    <xf numFmtId="0" fontId="7" fillId="0" borderId="0" xfId="41" applyAlignment="1">
      <alignment horizontal="center" vertical="center"/>
    </xf>
    <xf numFmtId="49" fontId="7" fillId="0" borderId="0" xfId="39" applyNumberFormat="1">
      <alignment vertical="center"/>
    </xf>
    <xf numFmtId="49" fontId="7" fillId="0" borderId="0" xfId="39" applyNumberFormat="1" applyAlignment="1">
      <alignment horizontal="center" vertical="center"/>
    </xf>
    <xf numFmtId="49" fontId="32" fillId="0" borderId="0" xfId="39" applyNumberFormat="1" applyFont="1">
      <alignment vertical="center"/>
    </xf>
    <xf numFmtId="0" fontId="24" fillId="0" borderId="0" xfId="38" applyFont="1">
      <alignment vertical="center"/>
    </xf>
    <xf numFmtId="0" fontId="1" fillId="0" borderId="0" xfId="38">
      <alignment vertical="center"/>
    </xf>
    <xf numFmtId="49" fontId="23" fillId="7" borderId="4" xfId="38" applyNumberFormat="1" applyFont="1" applyFill="1" applyBorder="1" applyAlignment="1">
      <alignment horizontal="left" vertical="center"/>
    </xf>
    <xf numFmtId="49" fontId="1" fillId="7" borderId="4" xfId="38" applyNumberFormat="1" applyFill="1" applyBorder="1" applyAlignment="1">
      <alignment horizontal="left" vertical="center"/>
    </xf>
    <xf numFmtId="49" fontId="23" fillId="5" borderId="4" xfId="38" applyNumberFormat="1" applyFont="1" applyFill="1" applyBorder="1" applyAlignment="1">
      <alignment wrapText="1"/>
    </xf>
    <xf numFmtId="49" fontId="1" fillId="5" borderId="4" xfId="38" applyNumberFormat="1" applyFill="1" applyBorder="1" applyAlignment="1">
      <alignment wrapText="1"/>
    </xf>
    <xf numFmtId="49" fontId="33" fillId="0" borderId="10" xfId="38" applyNumberFormat="1" applyFont="1" applyBorder="1" applyAlignment="1">
      <alignment wrapText="1"/>
    </xf>
    <xf numFmtId="49" fontId="1" fillId="0" borderId="10" xfId="38" applyNumberFormat="1" applyBorder="1" applyAlignment="1">
      <alignment wrapText="1"/>
    </xf>
    <xf numFmtId="49" fontId="23" fillId="0" borderId="4" xfId="38" applyNumberFormat="1" applyFont="1" applyBorder="1" applyAlignment="1">
      <alignment wrapText="1"/>
    </xf>
    <xf numFmtId="49" fontId="1" fillId="0" borderId="4" xfId="38" applyNumberFormat="1" applyBorder="1" applyAlignment="1">
      <alignment wrapText="1"/>
    </xf>
    <xf numFmtId="49" fontId="1" fillId="0" borderId="4" xfId="38" applyNumberFormat="1" applyBorder="1" applyAlignment="1"/>
    <xf numFmtId="49" fontId="33" fillId="0" borderId="13" xfId="38" applyNumberFormat="1" applyFont="1" applyBorder="1" applyAlignment="1">
      <alignment horizontal="center" vertical="center" wrapText="1"/>
    </xf>
    <xf numFmtId="0" fontId="33" fillId="0" borderId="0" xfId="38" applyFont="1">
      <alignment vertical="center"/>
    </xf>
    <xf numFmtId="9" fontId="1" fillId="0" borderId="0" xfId="23" applyFont="1" applyAlignment="1">
      <alignment vertical="center"/>
    </xf>
    <xf numFmtId="49" fontId="1" fillId="0" borderId="0" xfId="38" applyNumberFormat="1" applyAlignment="1">
      <alignment horizontal="left" vertical="center"/>
    </xf>
    <xf numFmtId="49" fontId="23" fillId="0" borderId="0" xfId="38" applyNumberFormat="1" applyFont="1" applyAlignment="1">
      <alignment wrapText="1"/>
    </xf>
    <xf numFmtId="49" fontId="1" fillId="0" borderId="0" xfId="38" applyNumberFormat="1" applyAlignment="1">
      <alignment wrapText="1"/>
    </xf>
    <xf numFmtId="49" fontId="1" fillId="0" borderId="0" xfId="38" applyNumberFormat="1" applyAlignment="1"/>
    <xf numFmtId="0" fontId="68" fillId="0" borderId="11" xfId="0" applyFont="1" applyBorder="1" applyAlignment="1">
      <alignment horizontal="left" vertical="top" wrapText="1"/>
    </xf>
    <xf numFmtId="0" fontId="14" fillId="0" borderId="4" xfId="0" applyFont="1" applyBorder="1" applyAlignment="1">
      <alignment vertical="top" wrapText="1"/>
    </xf>
    <xf numFmtId="0" fontId="10" fillId="0" borderId="25" xfId="0" applyFont="1" applyBorder="1" applyAlignment="1">
      <alignment vertical="top" wrapText="1"/>
    </xf>
    <xf numFmtId="0" fontId="10" fillId="0" borderId="0" xfId="0" applyFont="1" applyAlignment="1">
      <alignment horizontal="left" vertical="top" wrapText="1"/>
    </xf>
    <xf numFmtId="0" fontId="69" fillId="4" borderId="0" xfId="31" applyFont="1" applyFill="1" applyAlignment="1">
      <alignment vertical="center" wrapText="1"/>
    </xf>
    <xf numFmtId="0" fontId="10" fillId="4" borderId="0" xfId="0" applyFont="1" applyFill="1" applyAlignment="1">
      <alignment horizontal="center" vertical="center" wrapText="1"/>
    </xf>
    <xf numFmtId="0" fontId="10" fillId="4" borderId="0" xfId="0" applyFont="1" applyFill="1">
      <alignment vertical="center"/>
    </xf>
    <xf numFmtId="0" fontId="10" fillId="0" borderId="26" xfId="0" applyFont="1" applyBorder="1" applyAlignment="1">
      <alignment vertical="top" wrapText="1"/>
    </xf>
    <xf numFmtId="0" fontId="16" fillId="0" borderId="26" xfId="0" applyFont="1" applyBorder="1" applyAlignment="1">
      <alignment horizontal="center" vertical="center" wrapText="1"/>
    </xf>
    <xf numFmtId="0" fontId="10" fillId="15" borderId="26" xfId="0" applyFont="1" applyFill="1" applyBorder="1" applyAlignment="1">
      <alignment vertical="top" wrapText="1"/>
    </xf>
    <xf numFmtId="0" fontId="10" fillId="0" borderId="14" xfId="0" applyFont="1" applyBorder="1" applyAlignment="1">
      <alignment horizontal="left" vertical="top" wrapText="1"/>
    </xf>
    <xf numFmtId="0" fontId="10" fillId="0" borderId="13" xfId="0" applyFont="1" applyBorder="1" applyAlignment="1">
      <alignment horizontal="left" vertical="top" wrapText="1"/>
    </xf>
    <xf numFmtId="0" fontId="10" fillId="0" borderId="4" xfId="0" applyFont="1" applyBorder="1" applyAlignment="1">
      <alignment horizontal="left" vertical="top" wrapText="1"/>
    </xf>
    <xf numFmtId="187" fontId="10" fillId="0" borderId="11" xfId="0" applyNumberFormat="1" applyFont="1" applyBorder="1" applyAlignment="1">
      <alignment horizontal="center" vertical="center" wrapText="1"/>
    </xf>
    <xf numFmtId="0" fontId="29" fillId="0" borderId="0" xfId="37" applyFont="1" applyAlignment="1">
      <alignment vertical="center" wrapText="1"/>
    </xf>
    <xf numFmtId="0" fontId="29" fillId="0" borderId="0" xfId="37" applyFont="1" applyAlignment="1">
      <alignment horizontal="left" vertical="center" wrapText="1"/>
    </xf>
    <xf numFmtId="0" fontId="29" fillId="0" borderId="0" xfId="37" applyFont="1" applyAlignment="1">
      <alignment horizontal="center" vertical="center" wrapText="1"/>
    </xf>
    <xf numFmtId="0" fontId="29" fillId="0" borderId="27" xfId="37" applyFont="1" applyBorder="1" applyAlignment="1">
      <alignment horizontal="center" vertical="center" wrapText="1"/>
    </xf>
    <xf numFmtId="0" fontId="5" fillId="0" borderId="28" xfId="27" applyFont="1" applyBorder="1" applyAlignment="1">
      <alignment horizontal="left" vertical="center" wrapText="1"/>
    </xf>
    <xf numFmtId="0" fontId="29" fillId="0" borderId="29" xfId="37" applyFont="1" applyBorder="1" applyAlignment="1">
      <alignment horizontal="center" vertical="center" textRotation="255" wrapText="1"/>
    </xf>
    <xf numFmtId="0" fontId="5" fillId="0" borderId="30" xfId="27" applyFont="1" applyBorder="1" applyAlignment="1">
      <alignment horizontal="left" vertical="center" wrapText="1"/>
    </xf>
    <xf numFmtId="0" fontId="29" fillId="0" borderId="30" xfId="34" applyFont="1" applyBorder="1" applyAlignment="1">
      <alignment horizontal="left" vertical="center" wrapText="1"/>
    </xf>
    <xf numFmtId="0" fontId="49" fillId="16" borderId="30" xfId="34" applyFont="1" applyFill="1" applyBorder="1" applyAlignment="1">
      <alignment horizontal="center" vertical="center" wrapText="1"/>
    </xf>
    <xf numFmtId="0" fontId="5" fillId="16" borderId="30" xfId="27" applyFont="1" applyFill="1" applyBorder="1" applyAlignment="1">
      <alignment horizontal="left" vertical="center" wrapText="1"/>
    </xf>
    <xf numFmtId="0" fontId="30" fillId="0" borderId="30" xfId="27" applyFont="1" applyBorder="1" applyAlignment="1">
      <alignment horizontal="justify" vertical="center" wrapText="1"/>
    </xf>
    <xf numFmtId="0" fontId="30" fillId="0" borderId="31" xfId="27" applyFont="1" applyBorder="1" applyAlignment="1">
      <alignment horizontal="justify" vertical="center" wrapText="1"/>
    </xf>
    <xf numFmtId="0" fontId="30" fillId="4" borderId="30" xfId="27" applyFont="1" applyFill="1" applyBorder="1" applyAlignment="1">
      <alignment horizontal="justify" vertical="center" wrapText="1"/>
    </xf>
    <xf numFmtId="0" fontId="5" fillId="0" borderId="32" xfId="27" applyFont="1" applyBorder="1" applyAlignment="1">
      <alignment horizontal="left" vertical="center" wrapText="1"/>
    </xf>
    <xf numFmtId="0" fontId="30" fillId="8" borderId="30" xfId="27" applyFont="1" applyFill="1" applyBorder="1" applyAlignment="1">
      <alignment horizontal="justify" vertical="center" wrapText="1"/>
    </xf>
    <xf numFmtId="0" fontId="30" fillId="20" borderId="30" xfId="0" applyFont="1" applyFill="1" applyBorder="1" applyAlignment="1">
      <alignment horizontal="justify" vertical="center" wrapText="1"/>
    </xf>
    <xf numFmtId="0" fontId="30" fillId="21" borderId="30" xfId="0" applyFont="1" applyFill="1" applyBorder="1" applyAlignment="1">
      <alignment horizontal="justify" vertical="center" wrapText="1"/>
    </xf>
    <xf numFmtId="0" fontId="30" fillId="22" borderId="30" xfId="0" applyFont="1" applyFill="1" applyBorder="1" applyAlignment="1">
      <alignment horizontal="justify" vertical="center" wrapText="1"/>
    </xf>
    <xf numFmtId="0" fontId="30" fillId="23" borderId="30" xfId="27" applyFont="1" applyFill="1" applyBorder="1" applyAlignment="1">
      <alignment horizontal="justify" vertical="center" wrapText="1"/>
    </xf>
    <xf numFmtId="0" fontId="30" fillId="24" borderId="30" xfId="27" applyFont="1" applyFill="1" applyBorder="1" applyAlignment="1">
      <alignment horizontal="justify" vertical="center" wrapText="1"/>
    </xf>
    <xf numFmtId="0" fontId="30" fillId="9" borderId="30" xfId="27" applyFont="1" applyFill="1" applyBorder="1" applyAlignment="1">
      <alignment horizontal="justify" vertical="center" wrapText="1"/>
    </xf>
    <xf numFmtId="0" fontId="30" fillId="10" borderId="30" xfId="27" applyFont="1" applyFill="1" applyBorder="1" applyAlignment="1">
      <alignment horizontal="justify" vertical="center" wrapText="1"/>
    </xf>
    <xf numFmtId="0" fontId="30" fillId="11" borderId="30" xfId="27" applyFont="1" applyFill="1" applyBorder="1" applyAlignment="1">
      <alignment horizontal="justify" vertical="center" wrapText="1"/>
    </xf>
    <xf numFmtId="0" fontId="30" fillId="25" borderId="30" xfId="0" applyFont="1" applyFill="1" applyBorder="1" applyAlignment="1">
      <alignment horizontal="justify" vertical="center" wrapText="1"/>
    </xf>
    <xf numFmtId="0" fontId="30" fillId="12" borderId="30" xfId="27" applyFont="1" applyFill="1" applyBorder="1" applyAlignment="1">
      <alignment horizontal="justify" vertical="center" wrapText="1"/>
    </xf>
    <xf numFmtId="0" fontId="30" fillId="6" borderId="30" xfId="27" applyFont="1" applyFill="1" applyBorder="1" applyAlignment="1">
      <alignment horizontal="justify" vertical="center" wrapText="1"/>
    </xf>
    <xf numFmtId="0" fontId="30" fillId="26" borderId="30" xfId="0" applyFont="1" applyFill="1" applyBorder="1" applyAlignment="1">
      <alignment horizontal="justify" vertical="center" wrapText="1"/>
    </xf>
    <xf numFmtId="0" fontId="30" fillId="27" borderId="30" xfId="0" applyFont="1" applyFill="1" applyBorder="1" applyAlignment="1">
      <alignment horizontal="justify" vertical="center" wrapText="1"/>
    </xf>
    <xf numFmtId="0" fontId="30" fillId="13" borderId="30" xfId="27" applyFont="1" applyFill="1" applyBorder="1" applyAlignment="1">
      <alignment horizontal="justify" vertical="center" wrapText="1"/>
    </xf>
    <xf numFmtId="0" fontId="30" fillId="3" borderId="30" xfId="27" applyFont="1" applyFill="1" applyBorder="1" applyAlignment="1">
      <alignment horizontal="justify" vertical="center" wrapText="1"/>
    </xf>
    <xf numFmtId="0" fontId="30" fillId="14" borderId="30" xfId="27" applyFont="1" applyFill="1" applyBorder="1" applyAlignment="1">
      <alignment horizontal="justify" vertical="center" wrapText="1"/>
    </xf>
    <xf numFmtId="0" fontId="50" fillId="28" borderId="30" xfId="0" applyFont="1" applyFill="1" applyBorder="1" applyAlignment="1">
      <alignment horizontal="justify" vertical="center" wrapText="1"/>
    </xf>
    <xf numFmtId="0" fontId="52" fillId="16" borderId="30" xfId="27" applyFont="1" applyFill="1" applyBorder="1" applyAlignment="1">
      <alignment horizontal="left" vertical="center" wrapText="1"/>
    </xf>
    <xf numFmtId="0" fontId="29" fillId="0" borderId="33" xfId="37" applyFont="1" applyBorder="1" applyAlignment="1">
      <alignment horizontal="center" vertical="center" wrapText="1"/>
    </xf>
    <xf numFmtId="0" fontId="5" fillId="0" borderId="34" xfId="27" applyFont="1" applyBorder="1" applyAlignment="1">
      <alignment horizontal="left" vertical="center" wrapText="1"/>
    </xf>
    <xf numFmtId="0" fontId="29" fillId="0" borderId="0" xfId="37" applyFont="1" applyAlignment="1">
      <alignment horizontal="center" vertical="center"/>
    </xf>
    <xf numFmtId="0" fontId="29" fillId="0" borderId="0" xfId="37" applyFont="1">
      <alignment vertical="center"/>
    </xf>
    <xf numFmtId="0" fontId="29" fillId="16" borderId="0" xfId="37" applyFont="1" applyFill="1" applyAlignment="1">
      <alignment horizontal="center" vertical="center"/>
    </xf>
    <xf numFmtId="0" fontId="29" fillId="16" borderId="0" xfId="37" applyFont="1" applyFill="1">
      <alignment vertical="center"/>
    </xf>
    <xf numFmtId="0" fontId="29" fillId="0" borderId="35" xfId="37" applyFont="1" applyBorder="1" applyAlignment="1">
      <alignment horizontal="center" vertical="center" wrapText="1"/>
    </xf>
    <xf numFmtId="184" fontId="5" fillId="0" borderId="36" xfId="0" applyNumberFormat="1" applyFont="1" applyBorder="1" applyAlignment="1">
      <alignment vertical="center" wrapText="1"/>
    </xf>
    <xf numFmtId="184" fontId="5" fillId="0" borderId="31" xfId="0" applyNumberFormat="1" applyFont="1" applyBorder="1" applyAlignment="1">
      <alignment vertical="center" wrapText="1"/>
    </xf>
    <xf numFmtId="184" fontId="5" fillId="16" borderId="31" xfId="27" applyNumberFormat="1" applyFont="1" applyFill="1" applyBorder="1" applyAlignment="1">
      <alignment vertical="center" wrapText="1"/>
    </xf>
    <xf numFmtId="184" fontId="52" fillId="16" borderId="31" xfId="27" applyNumberFormat="1" applyFont="1" applyFill="1" applyBorder="1" applyAlignment="1">
      <alignment vertical="center" wrapText="1"/>
    </xf>
    <xf numFmtId="184" fontId="5" fillId="0" borderId="37" xfId="0" applyNumberFormat="1" applyFont="1" applyBorder="1" applyAlignment="1">
      <alignment vertical="center" wrapText="1"/>
    </xf>
    <xf numFmtId="184" fontId="29" fillId="0" borderId="0" xfId="37" applyNumberFormat="1" applyFont="1" applyAlignment="1">
      <alignment horizontal="center" vertical="center" wrapText="1"/>
    </xf>
    <xf numFmtId="0" fontId="5" fillId="0" borderId="35" xfId="27" applyFont="1" applyBorder="1" applyAlignment="1">
      <alignment horizontal="center" vertical="center" wrapText="1"/>
    </xf>
    <xf numFmtId="0" fontId="5" fillId="0" borderId="38" xfId="0" applyFont="1" applyBorder="1" applyAlignment="1">
      <alignment vertical="center" wrapText="1"/>
    </xf>
    <xf numFmtId="0" fontId="5" fillId="0" borderId="27" xfId="27" applyFont="1" applyBorder="1" applyAlignment="1">
      <alignment horizontal="center" vertical="center" wrapText="1"/>
    </xf>
    <xf numFmtId="0" fontId="5" fillId="0" borderId="39" xfId="0" applyFont="1" applyBorder="1" applyAlignment="1">
      <alignment vertical="center" wrapText="1"/>
    </xf>
    <xf numFmtId="0" fontId="5" fillId="16" borderId="40" xfId="27" applyFont="1" applyFill="1" applyBorder="1" applyAlignment="1">
      <alignment horizontal="center" vertical="center" wrapText="1"/>
    </xf>
    <xf numFmtId="0" fontId="5" fillId="16" borderId="39" xfId="27" applyFont="1" applyFill="1" applyBorder="1" applyAlignment="1">
      <alignment vertical="center" wrapText="1"/>
    </xf>
    <xf numFmtId="0" fontId="52" fillId="16" borderId="40" xfId="27" applyFont="1" applyFill="1" applyBorder="1" applyAlignment="1">
      <alignment vertical="center" wrapText="1"/>
    </xf>
    <xf numFmtId="0" fontId="52" fillId="16" borderId="39" xfId="27" applyFont="1" applyFill="1" applyBorder="1" applyAlignment="1">
      <alignment vertical="center" wrapText="1"/>
    </xf>
    <xf numFmtId="0" fontId="5" fillId="16" borderId="40" xfId="27" applyFont="1" applyFill="1" applyBorder="1" applyAlignment="1">
      <alignment vertical="center" wrapText="1"/>
    </xf>
    <xf numFmtId="0" fontId="5" fillId="0" borderId="33" xfId="27" applyFont="1" applyBorder="1" applyAlignment="1">
      <alignment horizontal="center" vertical="center" wrapText="1"/>
    </xf>
    <xf numFmtId="0" fontId="5" fillId="0" borderId="41" xfId="0" applyFont="1" applyBorder="1" applyAlignment="1">
      <alignment vertical="center" wrapText="1"/>
    </xf>
    <xf numFmtId="0" fontId="53" fillId="0" borderId="0" xfId="37" applyFont="1">
      <alignment vertical="center"/>
    </xf>
    <xf numFmtId="0" fontId="54" fillId="0" borderId="0" xfId="37" applyFont="1">
      <alignment vertical="center"/>
    </xf>
    <xf numFmtId="0" fontId="27" fillId="0" borderId="0" xfId="37" applyFont="1" applyAlignment="1">
      <alignment vertical="center" wrapText="1"/>
    </xf>
    <xf numFmtId="0" fontId="27" fillId="0" borderId="0" xfId="37" applyFont="1" applyAlignment="1">
      <alignment horizontal="left" vertical="center" wrapText="1"/>
    </xf>
    <xf numFmtId="0" fontId="27" fillId="0" borderId="0" xfId="37" applyFont="1" applyAlignment="1">
      <alignment horizontal="center" vertical="center" wrapText="1"/>
    </xf>
    <xf numFmtId="184" fontId="27" fillId="0" borderId="0" xfId="37" applyNumberFormat="1" applyFont="1" applyAlignment="1">
      <alignment horizontal="center" vertical="center" wrapText="1"/>
    </xf>
    <xf numFmtId="0" fontId="29" fillId="0" borderId="31" xfId="37" applyFont="1" applyBorder="1" applyAlignment="1">
      <alignment horizontal="left" vertical="center" wrapText="1"/>
    </xf>
    <xf numFmtId="0" fontId="29" fillId="0" borderId="42" xfId="37" applyFont="1" applyBorder="1" applyAlignment="1">
      <alignment horizontal="left" vertical="center" wrapText="1"/>
    </xf>
    <xf numFmtId="0" fontId="29" fillId="0" borderId="32" xfId="37" applyFont="1" applyBorder="1" applyAlignment="1">
      <alignment horizontal="left" vertical="center" wrapText="1"/>
    </xf>
    <xf numFmtId="0" fontId="27" fillId="0" borderId="0" xfId="37" applyFont="1" applyAlignment="1">
      <alignment horizontal="left" vertical="center"/>
    </xf>
    <xf numFmtId="0" fontId="5" fillId="0" borderId="30" xfId="27" applyFont="1" applyBorder="1">
      <alignment vertical="center"/>
    </xf>
    <xf numFmtId="0" fontId="29" fillId="18" borderId="17" xfId="37" applyFont="1" applyFill="1" applyBorder="1" applyAlignment="1">
      <alignment horizontal="center" vertical="top" wrapText="1"/>
    </xf>
    <xf numFmtId="184" fontId="29" fillId="18" borderId="43" xfId="37" applyNumberFormat="1" applyFont="1" applyFill="1" applyBorder="1" applyAlignment="1">
      <alignment horizontal="center" vertical="top" wrapText="1"/>
    </xf>
    <xf numFmtId="0" fontId="29" fillId="18" borderId="44" xfId="37" applyFont="1" applyFill="1" applyBorder="1" applyAlignment="1">
      <alignment horizontal="center" vertical="top" wrapText="1"/>
    </xf>
    <xf numFmtId="0" fontId="55" fillId="0" borderId="0" xfId="37" applyFont="1">
      <alignment vertical="center"/>
    </xf>
    <xf numFmtId="0" fontId="57" fillId="0" borderId="0" xfId="37" applyFont="1">
      <alignment vertical="center"/>
    </xf>
    <xf numFmtId="0" fontId="12" fillId="0" borderId="0" xfId="37" applyFont="1" applyAlignment="1">
      <alignment vertical="center" wrapText="1"/>
    </xf>
    <xf numFmtId="0" fontId="12" fillId="0" borderId="0" xfId="37" applyFont="1" applyAlignment="1">
      <alignment horizontal="left" vertical="center" wrapText="1"/>
    </xf>
    <xf numFmtId="184" fontId="12" fillId="0" borderId="0" xfId="37" applyNumberFormat="1" applyFont="1" applyAlignment="1">
      <alignment horizontal="center" vertical="center" wrapText="1"/>
    </xf>
    <xf numFmtId="0" fontId="12" fillId="0" borderId="0" xfId="37" applyFont="1" applyAlignment="1">
      <alignment horizontal="center" vertical="center" wrapText="1"/>
    </xf>
    <xf numFmtId="49" fontId="70" fillId="18" borderId="11" xfId="0" applyNumberFormat="1" applyFont="1" applyFill="1" applyBorder="1" applyAlignment="1">
      <alignment horizontal="center" vertical="top"/>
    </xf>
    <xf numFmtId="49" fontId="70" fillId="18" borderId="25" xfId="0" applyNumberFormat="1" applyFont="1" applyFill="1" applyBorder="1" applyAlignment="1">
      <alignment horizontal="center" vertical="top"/>
    </xf>
    <xf numFmtId="0" fontId="70" fillId="18" borderId="11" xfId="0" applyFont="1" applyFill="1" applyBorder="1" applyAlignment="1">
      <alignment horizontal="center" vertical="center" wrapText="1"/>
    </xf>
    <xf numFmtId="14" fontId="70" fillId="0" borderId="11" xfId="0" applyNumberFormat="1" applyFont="1" applyBorder="1" applyAlignment="1">
      <alignment horizontal="center" vertical="center" wrapText="1"/>
    </xf>
    <xf numFmtId="0" fontId="70" fillId="0" borderId="11" xfId="0" applyFont="1" applyBorder="1" applyAlignment="1">
      <alignment horizontal="center" vertical="center" wrapText="1"/>
    </xf>
    <xf numFmtId="49" fontId="71" fillId="0" borderId="17" xfId="0" applyNumberFormat="1" applyFont="1" applyBorder="1" applyAlignment="1">
      <alignment horizontal="center" vertical="center"/>
    </xf>
    <xf numFmtId="49" fontId="71" fillId="0" borderId="45" xfId="0" applyNumberFormat="1" applyFont="1" applyBorder="1" applyAlignment="1">
      <alignment horizontal="center" vertical="center"/>
    </xf>
    <xf numFmtId="0" fontId="70" fillId="0" borderId="0" xfId="0" applyFont="1" applyAlignment="1">
      <alignment vertical="top"/>
    </xf>
    <xf numFmtId="0" fontId="58" fillId="0" borderId="0" xfId="37" applyFont="1" applyAlignment="1">
      <alignment horizontal="left" vertical="center"/>
    </xf>
    <xf numFmtId="0" fontId="58" fillId="0" borderId="0" xfId="37" applyFont="1" applyAlignment="1">
      <alignment horizontal="left" vertical="center" wrapText="1"/>
    </xf>
    <xf numFmtId="0" fontId="72" fillId="0" borderId="0" xfId="0" applyFont="1" applyAlignment="1">
      <alignment vertical="center" wrapText="1"/>
    </xf>
    <xf numFmtId="0" fontId="58" fillId="0" borderId="0" xfId="37" applyFont="1" applyAlignment="1">
      <alignment vertical="center" wrapText="1"/>
    </xf>
    <xf numFmtId="184" fontId="58" fillId="0" borderId="0" xfId="37" applyNumberFormat="1" applyFont="1" applyAlignment="1">
      <alignment horizontal="center" vertical="center" wrapText="1"/>
    </xf>
    <xf numFmtId="0" fontId="58" fillId="0" borderId="0" xfId="37" applyFont="1" applyAlignment="1">
      <alignment horizontal="center" vertical="center" wrapText="1"/>
    </xf>
    <xf numFmtId="0" fontId="12" fillId="0" borderId="0" xfId="37" applyFont="1" applyAlignment="1">
      <alignment horizontal="center" vertical="center"/>
    </xf>
    <xf numFmtId="0" fontId="12" fillId="18" borderId="10" xfId="37" applyFont="1" applyFill="1" applyBorder="1" applyAlignment="1">
      <alignment horizontal="center" vertical="top" wrapText="1"/>
    </xf>
    <xf numFmtId="184" fontId="12" fillId="18" borderId="46" xfId="37" applyNumberFormat="1" applyFont="1" applyFill="1" applyBorder="1" applyAlignment="1">
      <alignment horizontal="center" vertical="top" wrapText="1"/>
    </xf>
    <xf numFmtId="0" fontId="12" fillId="18" borderId="47" xfId="37" applyFont="1" applyFill="1" applyBorder="1" applyAlignment="1">
      <alignment horizontal="center" vertical="top" wrapText="1"/>
    </xf>
    <xf numFmtId="0" fontId="12" fillId="0" borderId="35" xfId="37" applyFont="1" applyBorder="1" applyAlignment="1">
      <alignment horizontal="center" vertical="center" wrapText="1"/>
    </xf>
    <xf numFmtId="0" fontId="12" fillId="0" borderId="48" xfId="27" applyFont="1" applyBorder="1" applyAlignment="1">
      <alignment horizontal="left" vertical="top" wrapText="1"/>
    </xf>
    <xf numFmtId="0" fontId="12" fillId="0" borderId="36" xfId="37" applyFont="1" applyBorder="1" applyAlignment="1">
      <alignment horizontal="left" vertical="top" wrapText="1"/>
    </xf>
    <xf numFmtId="0" fontId="12" fillId="0" borderId="49" xfId="37" applyFont="1" applyBorder="1" applyAlignment="1">
      <alignment horizontal="left" vertical="top" wrapText="1"/>
    </xf>
    <xf numFmtId="0" fontId="12" fillId="0" borderId="35" xfId="27" applyFont="1" applyBorder="1" applyAlignment="1">
      <alignment horizontal="center" vertical="center" wrapText="1"/>
    </xf>
    <xf numFmtId="184" fontId="12" fillId="0" borderId="36" xfId="0" applyNumberFormat="1" applyFont="1" applyBorder="1" applyAlignment="1">
      <alignment vertical="center" wrapText="1"/>
    </xf>
    <xf numFmtId="0" fontId="12" fillId="0" borderId="38" xfId="0" applyFont="1" applyBorder="1" applyAlignment="1">
      <alignment vertical="center" wrapText="1"/>
    </xf>
    <xf numFmtId="0" fontId="12" fillId="0" borderId="27" xfId="37" applyFont="1" applyBorder="1" applyAlignment="1">
      <alignment horizontal="center" vertical="center" wrapText="1"/>
    </xf>
    <xf numFmtId="0" fontId="12" fillId="0" borderId="28" xfId="27" applyFont="1" applyBorder="1" applyAlignment="1">
      <alignment horizontal="left" vertical="top" wrapText="1"/>
    </xf>
    <xf numFmtId="0" fontId="12" fillId="0" borderId="30" xfId="27" applyFont="1" applyBorder="1" applyAlignment="1">
      <alignment horizontal="left" vertical="top" wrapText="1"/>
    </xf>
    <xf numFmtId="0" fontId="12" fillId="0" borderId="27" xfId="27" applyFont="1" applyBorder="1" applyAlignment="1">
      <alignment horizontal="center" vertical="center" wrapText="1"/>
    </xf>
    <xf numFmtId="184" fontId="12" fillId="0" borderId="31" xfId="0" applyNumberFormat="1" applyFont="1" applyBorder="1" applyAlignment="1">
      <alignment vertical="center" wrapText="1"/>
    </xf>
    <xf numFmtId="0" fontId="12" fillId="0" borderId="39" xfId="0" applyFont="1" applyBorder="1" applyAlignment="1">
      <alignment vertical="center" wrapText="1"/>
    </xf>
    <xf numFmtId="0" fontId="12" fillId="0" borderId="29" xfId="27" applyFont="1" applyBorder="1" applyAlignment="1">
      <alignment horizontal="left" vertical="top" wrapText="1"/>
    </xf>
    <xf numFmtId="0" fontId="12" fillId="0" borderId="50" xfId="27" applyFont="1" applyBorder="1" applyAlignment="1">
      <alignment horizontal="left" vertical="top" wrapText="1"/>
    </xf>
    <xf numFmtId="0" fontId="12" fillId="0" borderId="0" xfId="37" applyFont="1">
      <alignment vertical="center"/>
    </xf>
    <xf numFmtId="0" fontId="69" fillId="0" borderId="0" xfId="37" applyFont="1">
      <alignment vertical="center"/>
    </xf>
    <xf numFmtId="0" fontId="12" fillId="0" borderId="0" xfId="37" applyFont="1" applyAlignment="1">
      <alignment horizontal="center" vertical="center" textRotation="255" wrapText="1"/>
    </xf>
    <xf numFmtId="0" fontId="12" fillId="0" borderId="51" xfId="37" applyFont="1" applyBorder="1" applyAlignment="1">
      <alignment horizontal="center" vertical="center" textRotation="255" wrapText="1"/>
    </xf>
    <xf numFmtId="0" fontId="12" fillId="0" borderId="34" xfId="27" applyFont="1" applyBorder="1" applyAlignment="1">
      <alignment horizontal="left" vertical="top" wrapText="1"/>
    </xf>
    <xf numFmtId="0" fontId="12" fillId="0" borderId="33" xfId="27" applyFont="1" applyBorder="1" applyAlignment="1">
      <alignment horizontal="center" vertical="center" wrapText="1"/>
    </xf>
    <xf numFmtId="184" fontId="12" fillId="0" borderId="37" xfId="0" applyNumberFormat="1" applyFont="1" applyBorder="1" applyAlignment="1">
      <alignment vertical="center" wrapText="1"/>
    </xf>
    <xf numFmtId="0" fontId="12" fillId="0" borderId="41" xfId="0" applyFont="1" applyBorder="1" applyAlignment="1">
      <alignment vertical="center" wrapText="1"/>
    </xf>
    <xf numFmtId="0" fontId="10" fillId="16" borderId="45" xfId="0" applyFont="1" applyFill="1" applyBorder="1" applyAlignment="1">
      <alignment vertical="top" wrapText="1"/>
    </xf>
    <xf numFmtId="49" fontId="12" fillId="4" borderId="4" xfId="40" quotePrefix="1" applyNumberFormat="1" applyFont="1" applyFill="1" applyBorder="1" applyAlignment="1">
      <alignment horizontal="left" vertical="center" wrapText="1"/>
    </xf>
    <xf numFmtId="0" fontId="10" fillId="18" borderId="11" xfId="0" applyFont="1" applyFill="1" applyBorder="1" applyAlignment="1">
      <alignment horizontal="left" vertical="center" wrapText="1"/>
    </xf>
    <xf numFmtId="49" fontId="10" fillId="18" borderId="11" xfId="0" applyNumberFormat="1" applyFont="1" applyFill="1" applyBorder="1" applyAlignment="1">
      <alignment horizontal="left" vertical="top"/>
    </xf>
    <xf numFmtId="49" fontId="10" fillId="18" borderId="3" xfId="0" applyNumberFormat="1" applyFont="1" applyFill="1" applyBorder="1" applyAlignment="1">
      <alignment horizontal="left" vertical="top"/>
    </xf>
    <xf numFmtId="0" fontId="10" fillId="18" borderId="25" xfId="0" applyFont="1" applyFill="1" applyBorder="1" applyAlignment="1">
      <alignment horizontal="center" vertical="center" wrapText="1"/>
    </xf>
    <xf numFmtId="185" fontId="69" fillId="4" borderId="4" xfId="30" applyNumberFormat="1" applyFont="1" applyFill="1" applyBorder="1" applyAlignment="1">
      <alignment horizontal="center" vertical="center" wrapText="1"/>
    </xf>
    <xf numFmtId="184" fontId="69" fillId="4" borderId="4" xfId="30" applyNumberFormat="1" applyFont="1" applyFill="1" applyBorder="1" applyAlignment="1">
      <alignment horizontal="center" vertical="center" wrapText="1"/>
    </xf>
    <xf numFmtId="0" fontId="69" fillId="4" borderId="4" xfId="40" applyFont="1" applyFill="1" applyBorder="1" applyAlignment="1">
      <alignment horizontal="center" vertical="center" wrapText="1"/>
    </xf>
    <xf numFmtId="0" fontId="69" fillId="4" borderId="4" xfId="40" applyFont="1" applyFill="1" applyBorder="1" applyAlignment="1">
      <alignment horizontal="left" vertical="center" wrapText="1"/>
    </xf>
    <xf numFmtId="49" fontId="69" fillId="4" borderId="4" xfId="40" quotePrefix="1" applyNumberFormat="1" applyFont="1" applyFill="1" applyBorder="1" applyAlignment="1">
      <alignment horizontal="left" vertical="center" wrapText="1"/>
    </xf>
    <xf numFmtId="0" fontId="69" fillId="0" borderId="4" xfId="40" applyFont="1" applyBorder="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49" fontId="19" fillId="0" borderId="0" xfId="0" applyNumberFormat="1" applyFont="1" applyAlignment="1">
      <alignment horizontal="center" vertical="center"/>
    </xf>
    <xf numFmtId="49" fontId="19" fillId="0" borderId="4" xfId="0" applyNumberFormat="1" applyFont="1" applyBorder="1" applyAlignment="1">
      <alignment horizontal="center" vertical="center"/>
    </xf>
    <xf numFmtId="0" fontId="10" fillId="0" borderId="0" xfId="0" applyFont="1" applyAlignment="1">
      <alignment horizontal="center" vertical="top" wrapText="1"/>
    </xf>
    <xf numFmtId="0" fontId="10" fillId="0" borderId="11" xfId="0" applyFont="1" applyBorder="1" applyAlignment="1">
      <alignment horizontal="center" vertical="top" wrapText="1"/>
    </xf>
    <xf numFmtId="0" fontId="10" fillId="0" borderId="4" xfId="0" applyFont="1" applyBorder="1" applyAlignment="1">
      <alignment horizontal="center" vertical="top" wrapText="1"/>
    </xf>
    <xf numFmtId="0" fontId="10" fillId="16" borderId="16" xfId="0" applyFont="1" applyFill="1" applyBorder="1" applyAlignment="1">
      <alignment horizontal="center" vertical="top" wrapText="1"/>
    </xf>
    <xf numFmtId="185" fontId="73" fillId="4" borderId="4" xfId="30" applyNumberFormat="1" applyFont="1" applyFill="1" applyBorder="1" applyAlignment="1">
      <alignment horizontal="center" vertical="center" wrapText="1"/>
    </xf>
    <xf numFmtId="184" fontId="73" fillId="4" borderId="4" xfId="30" applyNumberFormat="1" applyFont="1" applyFill="1" applyBorder="1" applyAlignment="1">
      <alignment horizontal="center" vertical="center" wrapText="1"/>
    </xf>
    <xf numFmtId="0" fontId="73" fillId="4" borderId="4" xfId="40" applyFont="1" applyFill="1" applyBorder="1" applyAlignment="1">
      <alignment horizontal="center" vertical="center" wrapText="1"/>
    </xf>
    <xf numFmtId="0" fontId="73" fillId="4" borderId="4" xfId="40" applyFont="1" applyFill="1" applyBorder="1" applyAlignment="1">
      <alignment horizontal="left" vertical="center" wrapText="1"/>
    </xf>
    <xf numFmtId="49" fontId="73" fillId="4" borderId="4" xfId="40" quotePrefix="1" applyNumberFormat="1" applyFont="1" applyFill="1" applyBorder="1" applyAlignment="1">
      <alignment horizontal="left" vertical="center" wrapText="1"/>
    </xf>
    <xf numFmtId="0" fontId="73" fillId="0" borderId="4" xfId="40" applyFont="1" applyBorder="1" applyAlignment="1">
      <alignment horizontal="left" vertical="center" wrapText="1"/>
    </xf>
    <xf numFmtId="49" fontId="10" fillId="18" borderId="11" xfId="0" applyNumberFormat="1" applyFont="1" applyFill="1" applyBorder="1" applyAlignment="1">
      <alignment horizontal="center" vertical="top"/>
    </xf>
    <xf numFmtId="49" fontId="10" fillId="18" borderId="25" xfId="0" applyNumberFormat="1" applyFont="1" applyFill="1" applyBorder="1" applyAlignment="1">
      <alignment horizontal="center" vertical="top"/>
    </xf>
    <xf numFmtId="49" fontId="19" fillId="0" borderId="17" xfId="0" applyNumberFormat="1" applyFont="1" applyBorder="1" applyAlignment="1">
      <alignment horizontal="center" vertical="center"/>
    </xf>
    <xf numFmtId="49" fontId="19" fillId="0" borderId="45" xfId="0" applyNumberFormat="1" applyFont="1" applyBorder="1" applyAlignment="1">
      <alignment horizontal="center" vertical="center"/>
    </xf>
    <xf numFmtId="0" fontId="10" fillId="16" borderId="16" xfId="0" applyFont="1" applyFill="1" applyBorder="1" applyAlignment="1">
      <alignment horizontal="center" vertical="top"/>
    </xf>
    <xf numFmtId="0" fontId="63" fillId="0" borderId="4" xfId="0" applyFont="1" applyBorder="1" applyAlignment="1">
      <alignment vertical="top" wrapText="1"/>
    </xf>
    <xf numFmtId="0" fontId="7" fillId="0" borderId="0" xfId="0" applyFont="1">
      <alignment vertical="center"/>
    </xf>
    <xf numFmtId="0" fontId="27" fillId="0" borderId="0" xfId="0" applyFont="1" applyAlignment="1">
      <alignment vertical="center" wrapText="1"/>
    </xf>
    <xf numFmtId="0" fontId="74" fillId="0" borderId="0" xfId="0" applyFont="1">
      <alignment vertical="center"/>
    </xf>
    <xf numFmtId="0" fontId="10" fillId="0" borderId="4" xfId="38" applyFont="1" applyBorder="1" applyAlignment="1">
      <alignment vertical="center" wrapText="1"/>
    </xf>
    <xf numFmtId="9" fontId="10" fillId="0" borderId="4" xfId="38" applyNumberFormat="1" applyFont="1" applyBorder="1" applyAlignment="1">
      <alignment horizontal="left" vertical="center"/>
    </xf>
    <xf numFmtId="0" fontId="10" fillId="0" borderId="4" xfId="38" applyFont="1" applyBorder="1">
      <alignment vertical="center"/>
    </xf>
    <xf numFmtId="0" fontId="10" fillId="15" borderId="4" xfId="0" applyFont="1" applyFill="1" applyBorder="1" applyAlignment="1">
      <alignment vertical="top" wrapText="1"/>
    </xf>
    <xf numFmtId="0" fontId="10" fillId="15" borderId="4" xfId="0" applyFont="1" applyFill="1" applyBorder="1" applyAlignment="1">
      <alignment vertical="top" wrapText="1"/>
    </xf>
    <xf numFmtId="0" fontId="10" fillId="15" borderId="4" xfId="0" applyFont="1" applyFill="1" applyBorder="1" applyAlignment="1">
      <alignment vertical="top" wrapText="1"/>
    </xf>
    <xf numFmtId="0" fontId="10" fillId="15" borderId="4" xfId="0" applyFont="1" applyFill="1" applyBorder="1" applyAlignment="1">
      <alignment vertical="top" wrapText="1"/>
    </xf>
    <xf numFmtId="0" fontId="10" fillId="15" borderId="4" xfId="0" applyFont="1" applyFill="1" applyBorder="1" applyAlignment="1">
      <alignment vertical="top" wrapText="1"/>
    </xf>
    <xf numFmtId="49" fontId="10" fillId="0" borderId="11" xfId="0" applyNumberFormat="1" applyFont="1" applyBorder="1" applyAlignment="1">
      <alignment horizontal="center" vertical="top"/>
    </xf>
    <xf numFmtId="49" fontId="10" fillId="0" borderId="25" xfId="0" applyNumberFormat="1" applyFont="1" applyBorder="1" applyAlignment="1">
      <alignment horizontal="center" vertical="top"/>
    </xf>
    <xf numFmtId="0" fontId="10" fillId="0" borderId="14" xfId="0" applyFont="1" applyBorder="1" applyAlignment="1">
      <alignment vertical="top" wrapText="1"/>
    </xf>
    <xf numFmtId="0" fontId="10" fillId="0" borderId="13" xfId="0" applyFont="1" applyBorder="1" applyAlignment="1">
      <alignment vertical="top" wrapText="1"/>
    </xf>
    <xf numFmtId="49" fontId="19" fillId="0" borderId="4" xfId="0" applyNumberFormat="1" applyFont="1" applyBorder="1" applyAlignment="1">
      <alignment horizontal="center" vertical="center"/>
    </xf>
    <xf numFmtId="49" fontId="10" fillId="18" borderId="11" xfId="0" applyNumberFormat="1" applyFont="1" applyFill="1" applyBorder="1" applyAlignment="1">
      <alignment horizontal="center" vertical="top"/>
    </xf>
    <xf numFmtId="49" fontId="10" fillId="18" borderId="25" xfId="0" applyNumberFormat="1" applyFont="1" applyFill="1" applyBorder="1" applyAlignment="1">
      <alignment horizontal="center" vertical="top"/>
    </xf>
    <xf numFmtId="49" fontId="19" fillId="0" borderId="12" xfId="0" applyNumberFormat="1" applyFont="1" applyBorder="1" applyAlignment="1">
      <alignment horizontal="center" vertical="center"/>
    </xf>
    <xf numFmtId="49" fontId="19" fillId="0" borderId="52" xfId="0" applyNumberFormat="1" applyFont="1" applyBorder="1" applyAlignment="1">
      <alignment horizontal="center" vertical="center"/>
    </xf>
    <xf numFmtId="49" fontId="19" fillId="0" borderId="17" xfId="0" applyNumberFormat="1" applyFont="1" applyBorder="1" applyAlignment="1">
      <alignment horizontal="center" vertical="center"/>
    </xf>
    <xf numFmtId="49" fontId="19" fillId="0" borderId="45" xfId="0" applyNumberFormat="1" applyFont="1" applyBorder="1" applyAlignment="1">
      <alignment horizontal="center" vertical="center"/>
    </xf>
    <xf numFmtId="0" fontId="10" fillId="16" borderId="16" xfId="0" applyFont="1" applyFill="1" applyBorder="1" applyAlignment="1">
      <alignment horizontal="center" vertical="top"/>
    </xf>
    <xf numFmtId="0" fontId="10" fillId="16" borderId="53" xfId="0" applyFont="1" applyFill="1" applyBorder="1" applyAlignment="1">
      <alignment horizontal="center" vertical="top"/>
    </xf>
    <xf numFmtId="49" fontId="10" fillId="0" borderId="4" xfId="0" applyNumberFormat="1" applyFont="1" applyBorder="1" applyAlignment="1">
      <alignment horizontal="center" vertical="top"/>
    </xf>
    <xf numFmtId="0" fontId="10" fillId="0" borderId="14" xfId="0" applyFont="1" applyBorder="1" applyAlignment="1">
      <alignment horizontal="left" vertical="top" wrapText="1"/>
    </xf>
    <xf numFmtId="0" fontId="10" fillId="0" borderId="15" xfId="0" applyFont="1" applyBorder="1" applyAlignment="1">
      <alignment horizontal="left" vertical="top" wrapText="1"/>
    </xf>
    <xf numFmtId="49" fontId="68" fillId="0" borderId="4" xfId="0" applyNumberFormat="1" applyFont="1" applyBorder="1" applyAlignment="1">
      <alignment horizontal="center" vertical="top"/>
    </xf>
    <xf numFmtId="0" fontId="10" fillId="0" borderId="15" xfId="0" applyFont="1" applyBorder="1" applyAlignment="1">
      <alignment vertical="top" wrapText="1"/>
    </xf>
    <xf numFmtId="0" fontId="10" fillId="0" borderId="13" xfId="0" applyFont="1" applyBorder="1" applyAlignment="1">
      <alignment horizontal="left" vertical="top" wrapText="1"/>
    </xf>
    <xf numFmtId="49" fontId="10" fillId="0" borderId="11" xfId="0" applyNumberFormat="1" applyFont="1" applyBorder="1" applyAlignment="1">
      <alignment horizontal="center" vertical="center"/>
    </xf>
    <xf numFmtId="49" fontId="10" fillId="0" borderId="25" xfId="0" applyNumberFormat="1" applyFont="1" applyBorder="1" applyAlignment="1">
      <alignment horizontal="center" vertical="center"/>
    </xf>
    <xf numFmtId="49" fontId="10" fillId="0" borderId="26" xfId="0" applyNumberFormat="1" applyFont="1" applyBorder="1" applyAlignment="1">
      <alignment horizontal="center" vertical="top"/>
    </xf>
    <xf numFmtId="49" fontId="65" fillId="18" borderId="11" xfId="0" applyNumberFormat="1" applyFont="1" applyFill="1" applyBorder="1" applyAlignment="1">
      <alignment horizontal="center" vertical="top"/>
    </xf>
    <xf numFmtId="49" fontId="65" fillId="18" borderId="25" xfId="0" applyNumberFormat="1" applyFont="1" applyFill="1" applyBorder="1" applyAlignment="1">
      <alignment horizontal="center" vertical="top"/>
    </xf>
    <xf numFmtId="49" fontId="75" fillId="0" borderId="12" xfId="0" applyNumberFormat="1" applyFont="1" applyBorder="1" applyAlignment="1">
      <alignment horizontal="center" vertical="center"/>
    </xf>
    <xf numFmtId="49" fontId="75" fillId="0" borderId="52" xfId="0" applyNumberFormat="1" applyFont="1" applyBorder="1" applyAlignment="1">
      <alignment horizontal="center" vertical="center"/>
    </xf>
    <xf numFmtId="49" fontId="75" fillId="0" borderId="17" xfId="0" applyNumberFormat="1" applyFont="1" applyBorder="1" applyAlignment="1">
      <alignment horizontal="center" vertical="center"/>
    </xf>
    <xf numFmtId="49" fontId="75" fillId="0" borderId="45" xfId="0" applyNumberFormat="1" applyFont="1" applyBorder="1" applyAlignment="1">
      <alignment horizontal="center" vertical="center"/>
    </xf>
    <xf numFmtId="0" fontId="65" fillId="16" borderId="16" xfId="0" applyFont="1" applyFill="1" applyBorder="1" applyAlignment="1">
      <alignment horizontal="center" vertical="top"/>
    </xf>
    <xf numFmtId="0" fontId="65" fillId="16" borderId="53" xfId="0" applyFont="1" applyFill="1" applyBorder="1" applyAlignment="1">
      <alignment horizontal="center" vertical="top"/>
    </xf>
    <xf numFmtId="0" fontId="29" fillId="18" borderId="67" xfId="37" applyFont="1" applyFill="1" applyBorder="1" applyAlignment="1">
      <alignment horizontal="center" vertical="top" wrapText="1"/>
    </xf>
    <xf numFmtId="0" fontId="29" fillId="18" borderId="58" xfId="37" applyFont="1" applyFill="1" applyBorder="1" applyAlignment="1">
      <alignment horizontal="center" vertical="top" wrapText="1"/>
    </xf>
    <xf numFmtId="0" fontId="29" fillId="18" borderId="62" xfId="37" applyFont="1" applyFill="1" applyBorder="1" applyAlignment="1">
      <alignment horizontal="center" vertical="top" wrapText="1"/>
    </xf>
    <xf numFmtId="192" fontId="29" fillId="18" borderId="63" xfId="37" applyNumberFormat="1" applyFont="1" applyFill="1" applyBorder="1" applyAlignment="1">
      <alignment horizontal="center" vertical="top" wrapText="1"/>
    </xf>
    <xf numFmtId="192" fontId="29" fillId="18" borderId="60" xfId="37" applyNumberFormat="1" applyFont="1" applyFill="1" applyBorder="1" applyAlignment="1">
      <alignment horizontal="center" vertical="top" wrapText="1"/>
    </xf>
    <xf numFmtId="0" fontId="29" fillId="18" borderId="68" xfId="37" applyFont="1" applyFill="1" applyBorder="1" applyAlignment="1">
      <alignment horizontal="center" vertical="center" wrapText="1"/>
    </xf>
    <xf numFmtId="0" fontId="29" fillId="18" borderId="69" xfId="37" applyFont="1" applyFill="1" applyBorder="1" applyAlignment="1">
      <alignment horizontal="center" vertical="center" wrapText="1"/>
    </xf>
    <xf numFmtId="0" fontId="29" fillId="18" borderId="63" xfId="37" applyFont="1" applyFill="1" applyBorder="1" applyAlignment="1">
      <alignment horizontal="center" vertical="center" wrapText="1"/>
    </xf>
    <xf numFmtId="0" fontId="29" fillId="18" borderId="60" xfId="37" applyFont="1" applyFill="1" applyBorder="1" applyAlignment="1">
      <alignment horizontal="center" vertical="center" wrapText="1"/>
    </xf>
    <xf numFmtId="0" fontId="29" fillId="18" borderId="64" xfId="37" applyFont="1" applyFill="1" applyBorder="1" applyAlignment="1">
      <alignment horizontal="center" vertical="top" wrapText="1"/>
    </xf>
    <xf numFmtId="0" fontId="29" fillId="18" borderId="65" xfId="37" applyFont="1" applyFill="1" applyBorder="1" applyAlignment="1">
      <alignment horizontal="center" vertical="top" wrapText="1"/>
    </xf>
    <xf numFmtId="0" fontId="29" fillId="18" borderId="43" xfId="37" applyFont="1" applyFill="1" applyBorder="1" applyAlignment="1">
      <alignment horizontal="center" vertical="top" wrapText="1"/>
    </xf>
    <xf numFmtId="0" fontId="29" fillId="18" borderId="66" xfId="37" applyFont="1" applyFill="1" applyBorder="1" applyAlignment="1">
      <alignment horizontal="center" vertical="top" wrapText="1"/>
    </xf>
    <xf numFmtId="0" fontId="29" fillId="0" borderId="31" xfId="37" applyFont="1" applyBorder="1" applyAlignment="1">
      <alignment horizontal="left" vertical="center" wrapText="1"/>
    </xf>
    <xf numFmtId="0" fontId="74" fillId="0" borderId="42" xfId="0" applyFont="1" applyBorder="1" applyAlignment="1">
      <alignment horizontal="left" vertical="center" wrapText="1"/>
    </xf>
    <xf numFmtId="0" fontId="74" fillId="0" borderId="32" xfId="0" applyFont="1" applyBorder="1" applyAlignment="1">
      <alignment horizontal="left" vertical="center" wrapText="1"/>
    </xf>
    <xf numFmtId="0" fontId="29" fillId="0" borderId="36" xfId="37" applyFont="1" applyBorder="1" applyAlignment="1">
      <alignment horizontal="left" vertical="center" wrapText="1"/>
    </xf>
    <xf numFmtId="0" fontId="29" fillId="0" borderId="49" xfId="37" applyFont="1" applyBorder="1" applyAlignment="1">
      <alignment horizontal="left" vertical="center" wrapText="1"/>
    </xf>
    <xf numFmtId="0" fontId="74" fillId="0" borderId="54" xfId="0" applyFont="1" applyBorder="1" applyAlignment="1">
      <alignment horizontal="left" vertical="center" wrapText="1"/>
    </xf>
    <xf numFmtId="0" fontId="29" fillId="0" borderId="31" xfId="34" applyFont="1" applyBorder="1" applyAlignment="1">
      <alignment horizontal="left" vertical="center" wrapText="1"/>
    </xf>
    <xf numFmtId="49" fontId="10" fillId="18" borderId="3" xfId="0" applyNumberFormat="1" applyFont="1" applyFill="1" applyBorder="1" applyAlignment="1">
      <alignment horizontal="center" vertical="center"/>
    </xf>
    <xf numFmtId="49" fontId="10" fillId="18" borderId="25" xfId="0" applyNumberFormat="1" applyFont="1" applyFill="1" applyBorder="1" applyAlignment="1">
      <alignment horizontal="center" vertical="center"/>
    </xf>
    <xf numFmtId="0" fontId="10" fillId="0" borderId="11" xfId="0" applyFont="1" applyBorder="1" applyAlignment="1">
      <alignment horizontal="center" vertical="center" wrapText="1"/>
    </xf>
    <xf numFmtId="0" fontId="10" fillId="0" borderId="25" xfId="0" applyFont="1" applyBorder="1" applyAlignment="1">
      <alignment horizontal="center" vertical="center" wrapText="1"/>
    </xf>
    <xf numFmtId="192" fontId="29" fillId="18" borderId="64" xfId="37" applyNumberFormat="1" applyFont="1" applyFill="1" applyBorder="1" applyAlignment="1">
      <alignment horizontal="center" vertical="top" wrapText="1"/>
    </xf>
    <xf numFmtId="192" fontId="29" fillId="18" borderId="5" xfId="37" applyNumberFormat="1" applyFont="1" applyFill="1" applyBorder="1" applyAlignment="1">
      <alignment horizontal="center" vertical="top" wrapText="1"/>
    </xf>
    <xf numFmtId="192" fontId="29" fillId="18" borderId="65" xfId="37" applyNumberFormat="1" applyFont="1" applyFill="1" applyBorder="1" applyAlignment="1">
      <alignment horizontal="center" vertical="top" wrapText="1"/>
    </xf>
    <xf numFmtId="192" fontId="29" fillId="18" borderId="43" xfId="37" applyNumberFormat="1" applyFont="1" applyFill="1" applyBorder="1" applyAlignment="1">
      <alignment horizontal="center" vertical="top" wrapText="1"/>
    </xf>
    <xf numFmtId="192" fontId="29" fillId="18" borderId="51" xfId="37" applyNumberFormat="1" applyFont="1" applyFill="1" applyBorder="1" applyAlignment="1">
      <alignment horizontal="center" vertical="top" wrapText="1"/>
    </xf>
    <xf numFmtId="192" fontId="29" fillId="18" borderId="66" xfId="37" applyNumberFormat="1" applyFont="1" applyFill="1" applyBorder="1" applyAlignment="1">
      <alignment horizontal="center" vertical="top" wrapText="1"/>
    </xf>
    <xf numFmtId="0" fontId="29" fillId="0" borderId="29" xfId="37" applyFont="1" applyBorder="1" applyAlignment="1">
      <alignment horizontal="center" vertical="center" textRotation="255" wrapText="1"/>
    </xf>
    <xf numFmtId="0" fontId="29" fillId="0" borderId="28" xfId="37" applyFont="1" applyBorder="1" applyAlignment="1">
      <alignment horizontal="center" vertical="center" textRotation="255" wrapText="1"/>
    </xf>
    <xf numFmtId="0" fontId="29" fillId="0" borderId="50" xfId="34" applyFont="1" applyBorder="1" applyAlignment="1">
      <alignment horizontal="left" vertical="center" wrapText="1"/>
    </xf>
    <xf numFmtId="0" fontId="29" fillId="0" borderId="28" xfId="34" applyFont="1" applyBorder="1" applyAlignment="1">
      <alignment horizontal="left" vertical="center" wrapText="1"/>
    </xf>
    <xf numFmtId="0" fontId="29" fillId="0" borderId="37" xfId="37" applyFont="1" applyBorder="1" applyAlignment="1">
      <alignment horizontal="left" vertical="center" wrapText="1"/>
    </xf>
    <xf numFmtId="0" fontId="74" fillId="0" borderId="61" xfId="0" applyFont="1" applyBorder="1" applyAlignment="1">
      <alignment horizontal="left" vertical="center" wrapText="1"/>
    </xf>
    <xf numFmtId="0" fontId="74" fillId="0" borderId="56" xfId="0" applyFont="1" applyBorder="1" applyAlignment="1">
      <alignment horizontal="left" vertical="center" wrapText="1"/>
    </xf>
    <xf numFmtId="0" fontId="29" fillId="18" borderId="57" xfId="37" applyFont="1" applyFill="1" applyBorder="1" applyAlignment="1">
      <alignment horizontal="center" vertical="top" wrapText="1"/>
    </xf>
    <xf numFmtId="0" fontId="29" fillId="18" borderId="37" xfId="37" applyFont="1" applyFill="1" applyBorder="1" applyAlignment="1">
      <alignment horizontal="center" vertical="top" wrapText="1"/>
    </xf>
    <xf numFmtId="0" fontId="29" fillId="18" borderId="55" xfId="37" applyFont="1" applyFill="1" applyBorder="1" applyAlignment="1">
      <alignment horizontal="center" vertical="top" wrapText="1"/>
    </xf>
    <xf numFmtId="0" fontId="10" fillId="18" borderId="11" xfId="0" applyFont="1" applyFill="1" applyBorder="1" applyAlignment="1">
      <alignment horizontal="left" vertical="center" wrapText="1"/>
    </xf>
    <xf numFmtId="0" fontId="10" fillId="18" borderId="3" xfId="0" applyFont="1" applyFill="1" applyBorder="1" applyAlignment="1">
      <alignment horizontal="left" vertical="center" wrapText="1"/>
    </xf>
    <xf numFmtId="0" fontId="10" fillId="18" borderId="25" xfId="0" applyFont="1" applyFill="1" applyBorder="1" applyAlignment="1">
      <alignment horizontal="left" vertical="center" wrapText="1"/>
    </xf>
    <xf numFmtId="0" fontId="10" fillId="0" borderId="11" xfId="0" applyFont="1" applyBorder="1" applyAlignment="1">
      <alignment horizontal="left" vertical="center" wrapText="1"/>
    </xf>
    <xf numFmtId="0" fontId="10" fillId="0" borderId="3" xfId="0" applyFont="1" applyBorder="1" applyAlignment="1">
      <alignment horizontal="left" vertical="center" wrapText="1"/>
    </xf>
    <xf numFmtId="0" fontId="10" fillId="0" borderId="25" xfId="0" applyFont="1" applyBorder="1" applyAlignment="1">
      <alignment horizontal="left" vertical="center" wrapText="1"/>
    </xf>
    <xf numFmtId="0" fontId="74" fillId="0" borderId="3" xfId="0" applyFont="1" applyBorder="1" applyAlignment="1">
      <alignment horizontal="left" vertical="center" wrapText="1"/>
    </xf>
    <xf numFmtId="0" fontId="74" fillId="0" borderId="25" xfId="0" applyFont="1" applyBorder="1" applyAlignment="1">
      <alignment horizontal="left" vertical="center" wrapText="1"/>
    </xf>
    <xf numFmtId="0" fontId="29" fillId="0" borderId="42" xfId="37" applyFont="1" applyBorder="1" applyAlignment="1">
      <alignment horizontal="left" vertical="center" wrapText="1"/>
    </xf>
    <xf numFmtId="0" fontId="29" fillId="0" borderId="32" xfId="37" applyFont="1" applyBorder="1" applyAlignment="1">
      <alignment horizontal="left" vertical="center" wrapText="1"/>
    </xf>
    <xf numFmtId="0" fontId="29" fillId="0" borderId="50" xfId="37" applyFont="1" applyBorder="1" applyAlignment="1">
      <alignment horizontal="center" vertical="center" textRotation="255" wrapText="1"/>
    </xf>
    <xf numFmtId="0" fontId="49" fillId="16" borderId="31" xfId="37" applyFont="1" applyFill="1" applyBorder="1" applyAlignment="1">
      <alignment horizontal="center" vertical="center" wrapText="1"/>
    </xf>
    <xf numFmtId="0" fontId="49" fillId="16" borderId="42" xfId="37" applyFont="1" applyFill="1" applyBorder="1" applyAlignment="1">
      <alignment horizontal="center" vertical="center" wrapText="1"/>
    </xf>
    <xf numFmtId="0" fontId="49" fillId="16" borderId="32" xfId="37" applyFont="1" applyFill="1" applyBorder="1" applyAlignment="1">
      <alignment horizontal="center" vertical="center" wrapText="1"/>
    </xf>
    <xf numFmtId="0" fontId="30" fillId="0" borderId="31" xfId="27" applyFont="1" applyBorder="1" applyAlignment="1">
      <alignment horizontal="left" vertical="center"/>
    </xf>
    <xf numFmtId="0" fontId="74" fillId="0" borderId="32" xfId="0" applyFont="1" applyBorder="1" applyAlignment="1">
      <alignment horizontal="left" vertical="center"/>
    </xf>
    <xf numFmtId="0" fontId="29" fillId="0" borderId="31" xfId="37" applyFont="1" applyBorder="1" applyAlignment="1">
      <alignment horizontal="left" vertical="center"/>
    </xf>
    <xf numFmtId="0" fontId="74" fillId="0" borderId="31" xfId="0" applyFont="1" applyBorder="1" applyAlignment="1">
      <alignment horizontal="left" vertical="center"/>
    </xf>
    <xf numFmtId="0" fontId="74" fillId="0" borderId="31" xfId="0" applyFont="1" applyBorder="1" applyAlignment="1">
      <alignment horizontal="left" vertical="center" wrapText="1"/>
    </xf>
    <xf numFmtId="0" fontId="5" fillId="0" borderId="50" xfId="27" applyFont="1" applyBorder="1" applyAlignment="1">
      <alignment horizontal="left" vertical="center" wrapText="1"/>
    </xf>
    <xf numFmtId="0" fontId="5" fillId="0" borderId="29" xfId="27" applyFont="1" applyBorder="1" applyAlignment="1">
      <alignment horizontal="left" vertical="center" wrapText="1"/>
    </xf>
    <xf numFmtId="0" fontId="5" fillId="0" borderId="28" xfId="27" applyFont="1" applyBorder="1" applyAlignment="1">
      <alignment horizontal="left" vertical="center" wrapText="1"/>
    </xf>
    <xf numFmtId="0" fontId="30" fillId="0" borderId="31" xfId="27" applyFont="1" applyBorder="1" applyAlignment="1">
      <alignment horizontal="left" vertical="center" wrapText="1"/>
    </xf>
    <xf numFmtId="0" fontId="30" fillId="0" borderId="30" xfId="27" applyFont="1" applyBorder="1" applyAlignment="1">
      <alignment horizontal="left" vertical="center" wrapText="1"/>
    </xf>
    <xf numFmtId="0" fontId="74" fillId="0" borderId="30" xfId="0" applyFont="1" applyBorder="1" applyAlignment="1">
      <alignment horizontal="left" vertical="center" wrapText="1"/>
    </xf>
    <xf numFmtId="0" fontId="29" fillId="0" borderId="31" xfId="37" applyFont="1" applyBorder="1" applyAlignment="1">
      <alignment horizontal="left" vertical="top" wrapText="1"/>
    </xf>
    <xf numFmtId="0" fontId="29" fillId="0" borderId="42" xfId="37" applyFont="1" applyBorder="1" applyAlignment="1">
      <alignment horizontal="left" vertical="top" wrapText="1"/>
    </xf>
    <xf numFmtId="0" fontId="29" fillId="0" borderId="32" xfId="37" applyFont="1" applyBorder="1" applyAlignment="1">
      <alignment horizontal="left" vertical="top" wrapText="1"/>
    </xf>
    <xf numFmtId="0" fontId="74" fillId="0" borderId="42" xfId="0" applyFont="1" applyBorder="1" applyAlignment="1">
      <alignment horizontal="left" vertical="top" wrapText="1"/>
    </xf>
    <xf numFmtId="0" fontId="74" fillId="0" borderId="32" xfId="0" applyFont="1" applyBorder="1" applyAlignment="1">
      <alignment horizontal="left" vertical="top" wrapText="1"/>
    </xf>
    <xf numFmtId="0" fontId="5" fillId="0" borderId="50" xfId="27" applyFont="1" applyBorder="1" applyAlignment="1">
      <alignment horizontal="center" vertical="center" wrapText="1"/>
    </xf>
    <xf numFmtId="0" fontId="5" fillId="0" borderId="28" xfId="27" applyFont="1" applyBorder="1" applyAlignment="1">
      <alignment horizontal="center" vertical="center" wrapText="1"/>
    </xf>
    <xf numFmtId="0" fontId="74" fillId="0" borderId="42" xfId="0" applyFont="1" applyBorder="1" applyAlignment="1">
      <alignment horizontal="center" vertical="center" wrapText="1"/>
    </xf>
    <xf numFmtId="0" fontId="74" fillId="0" borderId="32" xfId="0" applyFont="1" applyBorder="1" applyAlignment="1">
      <alignment horizontal="center" vertical="center" wrapText="1"/>
    </xf>
    <xf numFmtId="0" fontId="29" fillId="0" borderId="60" xfId="37" applyFont="1" applyBorder="1" applyAlignment="1">
      <alignment horizontal="center" vertical="center" textRotation="255" wrapText="1"/>
    </xf>
    <xf numFmtId="0" fontId="74" fillId="0" borderId="37" xfId="0" applyFont="1" applyBorder="1" applyAlignment="1">
      <alignment horizontal="left" vertical="center" wrapText="1"/>
    </xf>
    <xf numFmtId="0" fontId="29" fillId="0" borderId="57" xfId="37" applyFont="1" applyBorder="1" applyAlignment="1">
      <alignment horizontal="left" vertical="center" wrapText="1"/>
    </xf>
    <xf numFmtId="0" fontId="29" fillId="0" borderId="58" xfId="37" applyFont="1" applyBorder="1" applyAlignment="1">
      <alignment horizontal="left" vertical="center" wrapText="1"/>
    </xf>
    <xf numFmtId="0" fontId="29" fillId="0" borderId="59" xfId="37" applyFont="1" applyBorder="1" applyAlignment="1">
      <alignment horizontal="left" vertical="center" wrapText="1"/>
    </xf>
    <xf numFmtId="0" fontId="29" fillId="0" borderId="57" xfId="37" applyFont="1" applyBorder="1" applyAlignment="1">
      <alignment horizontal="left" vertical="top" wrapText="1"/>
    </xf>
    <xf numFmtId="0" fontId="29" fillId="0" borderId="59" xfId="37" applyFont="1" applyBorder="1" applyAlignment="1">
      <alignment horizontal="left" vertical="top" wrapText="1"/>
    </xf>
    <xf numFmtId="0" fontId="29" fillId="0" borderId="32" xfId="37" applyFont="1" applyBorder="1" applyAlignment="1">
      <alignment horizontal="left" vertical="center"/>
    </xf>
    <xf numFmtId="0" fontId="29" fillId="0" borderId="31" xfId="34" applyFont="1" applyBorder="1" applyAlignment="1">
      <alignment horizontal="left" vertical="center"/>
    </xf>
    <xf numFmtId="0" fontId="29" fillId="16" borderId="31" xfId="37" applyFont="1" applyFill="1" applyBorder="1" applyAlignment="1">
      <alignment horizontal="left" vertical="center" wrapText="1"/>
    </xf>
    <xf numFmtId="0" fontId="29" fillId="0" borderId="54" xfId="37" applyFont="1" applyBorder="1" applyAlignment="1">
      <alignment horizontal="left" vertical="center" wrapText="1"/>
    </xf>
    <xf numFmtId="0" fontId="51" fillId="0" borderId="31" xfId="37" applyFont="1" applyBorder="1" applyAlignment="1">
      <alignment horizontal="left" vertical="center" wrapText="1"/>
    </xf>
    <xf numFmtId="0" fontId="74" fillId="0" borderId="55" xfId="0" applyFont="1" applyBorder="1" applyAlignment="1">
      <alignment horizontal="left" vertical="center" wrapText="1"/>
    </xf>
    <xf numFmtId="0" fontId="10" fillId="18" borderId="11" xfId="0" applyFont="1" applyFill="1" applyBorder="1" applyAlignment="1">
      <alignment horizontal="center" vertical="center" wrapText="1"/>
    </xf>
    <xf numFmtId="0" fontId="10" fillId="18" borderId="3" xfId="0" applyFont="1" applyFill="1" applyBorder="1" applyAlignment="1">
      <alignment horizontal="center" vertical="center" wrapText="1"/>
    </xf>
    <xf numFmtId="0" fontId="10" fillId="18" borderId="25" xfId="0" applyFont="1" applyFill="1" applyBorder="1" applyAlignment="1">
      <alignment horizontal="center" vertical="center" wrapText="1"/>
    </xf>
    <xf numFmtId="0" fontId="10" fillId="0" borderId="3" xfId="0" applyFont="1" applyBorder="1" applyAlignment="1">
      <alignment horizontal="center" vertical="center" wrapText="1"/>
    </xf>
    <xf numFmtId="0" fontId="29" fillId="0" borderId="4" xfId="35" applyFont="1" applyBorder="1" applyAlignment="1">
      <alignment horizontal="center" vertical="center" wrapText="1"/>
    </xf>
    <xf numFmtId="0" fontId="29" fillId="0" borderId="11" xfId="36" applyFont="1" applyBorder="1" applyAlignment="1">
      <alignment horizontal="center" vertical="center" wrapText="1"/>
    </xf>
    <xf numFmtId="0" fontId="29" fillId="0" borderId="3" xfId="36" applyFont="1" applyBorder="1" applyAlignment="1">
      <alignment horizontal="center" vertical="center" wrapText="1"/>
    </xf>
    <xf numFmtId="0" fontId="29" fillId="0" borderId="84" xfId="36" applyFont="1" applyBorder="1" applyAlignment="1">
      <alignment horizontal="center" vertical="center" wrapText="1"/>
    </xf>
    <xf numFmtId="0" fontId="28" fillId="0" borderId="76" xfId="41" applyFont="1" applyBorder="1" applyAlignment="1">
      <alignment horizontal="center" vertical="center" wrapText="1"/>
    </xf>
    <xf numFmtId="0" fontId="28" fillId="0" borderId="77" xfId="41" applyFont="1" applyBorder="1" applyAlignment="1">
      <alignment horizontal="center" vertical="center" wrapText="1"/>
    </xf>
    <xf numFmtId="0" fontId="28" fillId="0" borderId="78" xfId="41" applyFont="1" applyBorder="1" applyAlignment="1">
      <alignment horizontal="center" vertical="center" wrapText="1"/>
    </xf>
    <xf numFmtId="0" fontId="28" fillId="0" borderId="82" xfId="41" applyFont="1" applyBorder="1" applyAlignment="1">
      <alignment horizontal="center" vertical="center"/>
    </xf>
    <xf numFmtId="0" fontId="26" fillId="0" borderId="13" xfId="39" applyFont="1" applyBorder="1" applyAlignment="1">
      <alignment horizontal="center" vertical="center" textRotation="255"/>
    </xf>
    <xf numFmtId="0" fontId="29" fillId="0" borderId="11" xfId="41" applyFont="1" applyBorder="1" applyAlignment="1">
      <alignment horizontal="left" vertical="center" wrapText="1"/>
    </xf>
    <xf numFmtId="0" fontId="7" fillId="0" borderId="3" xfId="39" applyBorder="1" applyAlignment="1">
      <alignment horizontal="left" vertical="center" wrapText="1"/>
    </xf>
    <xf numFmtId="0" fontId="7" fillId="0" borderId="25" xfId="39" applyBorder="1" applyAlignment="1">
      <alignment horizontal="left" vertical="center" wrapText="1"/>
    </xf>
    <xf numFmtId="0" fontId="28" fillId="0" borderId="83" xfId="41" applyFont="1" applyBorder="1" applyAlignment="1">
      <alignment horizontal="center" vertical="center"/>
    </xf>
    <xf numFmtId="0" fontId="29" fillId="0" borderId="25" xfId="36" applyFont="1" applyBorder="1" applyAlignment="1">
      <alignment horizontal="center" vertical="center" wrapText="1"/>
    </xf>
    <xf numFmtId="0" fontId="29" fillId="0" borderId="11" xfId="39" applyFont="1" applyBorder="1" applyAlignment="1">
      <alignment horizontal="center" vertical="center" wrapText="1"/>
    </xf>
    <xf numFmtId="0" fontId="7" fillId="0" borderId="3" xfId="39" applyBorder="1">
      <alignment vertical="center"/>
    </xf>
    <xf numFmtId="0" fontId="7" fillId="0" borderId="25" xfId="39" applyBorder="1">
      <alignment vertical="center"/>
    </xf>
    <xf numFmtId="0" fontId="29" fillId="0" borderId="3" xfId="41" applyFont="1" applyBorder="1" applyAlignment="1">
      <alignment horizontal="left" vertical="center" wrapText="1"/>
    </xf>
    <xf numFmtId="0" fontId="29" fillId="0" borderId="25" xfId="41" applyFont="1" applyBorder="1" applyAlignment="1">
      <alignment horizontal="left" vertical="center" wrapText="1"/>
    </xf>
    <xf numFmtId="0" fontId="27" fillId="0" borderId="73" xfId="41" applyFont="1" applyBorder="1" applyAlignment="1">
      <alignment horizontal="center" vertical="center" wrapText="1"/>
    </xf>
    <xf numFmtId="0" fontId="27" fillId="0" borderId="74" xfId="41" applyFont="1" applyBorder="1" applyAlignment="1">
      <alignment horizontal="center" vertical="center"/>
    </xf>
    <xf numFmtId="0" fontId="27" fillId="0" borderId="75" xfId="41" applyFont="1" applyBorder="1" applyAlignment="1">
      <alignment horizontal="center" vertical="center"/>
    </xf>
    <xf numFmtId="0" fontId="27" fillId="0" borderId="70" xfId="41" applyFont="1" applyBorder="1" applyAlignment="1">
      <alignment horizontal="center" vertical="center"/>
    </xf>
    <xf numFmtId="0" fontId="27" fillId="0" borderId="51" xfId="41" applyFont="1" applyBorder="1" applyAlignment="1">
      <alignment horizontal="center" vertical="center"/>
    </xf>
    <xf numFmtId="0" fontId="27" fillId="0" borderId="45" xfId="41" applyFont="1" applyBorder="1" applyAlignment="1">
      <alignment horizontal="center" vertical="center"/>
    </xf>
    <xf numFmtId="0" fontId="30" fillId="0" borderId="79" xfId="41" applyFont="1" applyBorder="1" applyAlignment="1">
      <alignment vertical="center" wrapText="1"/>
    </xf>
    <xf numFmtId="0" fontId="30" fillId="0" borderId="80" xfId="41" applyFont="1" applyBorder="1" applyAlignment="1">
      <alignment vertical="center" wrapText="1"/>
    </xf>
    <xf numFmtId="0" fontId="30" fillId="0" borderId="80" xfId="41" applyFont="1" applyBorder="1" applyAlignment="1">
      <alignment vertical="center"/>
    </xf>
    <xf numFmtId="0" fontId="30" fillId="0" borderId="81" xfId="41" applyFont="1" applyBorder="1" applyAlignment="1">
      <alignment vertical="center"/>
    </xf>
    <xf numFmtId="0" fontId="30" fillId="0" borderId="20" xfId="41" applyFont="1" applyBorder="1" applyAlignment="1">
      <alignment horizontal="center" vertical="center" wrapText="1"/>
    </xf>
    <xf numFmtId="0" fontId="30" fillId="0" borderId="5" xfId="41" applyFont="1" applyBorder="1" applyAlignment="1">
      <alignment horizontal="center" vertical="center" wrapText="1"/>
    </xf>
    <xf numFmtId="0" fontId="30" fillId="0" borderId="52" xfId="41" applyFont="1" applyBorder="1" applyAlignment="1">
      <alignment horizontal="center" vertical="center" wrapText="1"/>
    </xf>
    <xf numFmtId="0" fontId="30" fillId="0" borderId="70" xfId="41" applyFont="1" applyBorder="1" applyAlignment="1">
      <alignment horizontal="center" vertical="center" wrapText="1"/>
    </xf>
    <xf numFmtId="0" fontId="30" fillId="0" borderId="51" xfId="41" applyFont="1" applyBorder="1" applyAlignment="1">
      <alignment horizontal="center" vertical="center" wrapText="1"/>
    </xf>
    <xf numFmtId="0" fontId="30" fillId="0" borderId="45" xfId="41" applyFont="1" applyBorder="1" applyAlignment="1">
      <alignment horizontal="center" vertical="center" wrapText="1"/>
    </xf>
    <xf numFmtId="0" fontId="30" fillId="0" borderId="11" xfId="41" applyFont="1" applyBorder="1" applyAlignment="1">
      <alignment horizontal="center" vertical="center"/>
    </xf>
    <xf numFmtId="0" fontId="30" fillId="0" borderId="3" xfId="41" applyFont="1" applyBorder="1" applyAlignment="1">
      <alignment horizontal="center" vertical="center"/>
    </xf>
    <xf numFmtId="0" fontId="30" fillId="0" borderId="25" xfId="41" applyFont="1" applyBorder="1" applyAlignment="1">
      <alignment horizontal="center" vertical="center"/>
    </xf>
    <xf numFmtId="0" fontId="30" fillId="0" borderId="71" xfId="41" applyFont="1" applyBorder="1" applyAlignment="1">
      <alignment horizontal="left" vertical="center"/>
    </xf>
    <xf numFmtId="0" fontId="30" fillId="0" borderId="3" xfId="41" applyFont="1" applyBorder="1" applyAlignment="1">
      <alignment horizontal="left" vertical="center"/>
    </xf>
    <xf numFmtId="0" fontId="30" fillId="0" borderId="25" xfId="41" applyFont="1" applyBorder="1" applyAlignment="1">
      <alignment horizontal="left" vertical="center"/>
    </xf>
    <xf numFmtId="0" fontId="7" fillId="0" borderId="72" xfId="39" applyBorder="1" applyAlignment="1">
      <alignment horizontal="center" vertical="center" textRotation="255"/>
    </xf>
    <xf numFmtId="0" fontId="33" fillId="0" borderId="0" xfId="38" applyFont="1">
      <alignment vertical="center"/>
    </xf>
    <xf numFmtId="0" fontId="33" fillId="0" borderId="51" xfId="38" applyFont="1" applyBorder="1">
      <alignment vertical="center"/>
    </xf>
    <xf numFmtId="49" fontId="33" fillId="0" borderId="0" xfId="38" applyNumberFormat="1" applyFont="1" applyAlignment="1">
      <alignment horizontal="left" vertical="center"/>
    </xf>
    <xf numFmtId="49" fontId="65" fillId="0" borderId="11" xfId="0" applyNumberFormat="1" applyFont="1" applyBorder="1" applyAlignment="1">
      <alignment horizontal="center" vertical="top"/>
    </xf>
    <xf numFmtId="49" fontId="65" fillId="0" borderId="25" xfId="0" applyNumberFormat="1" applyFont="1" applyBorder="1" applyAlignment="1">
      <alignment horizontal="center" vertical="top"/>
    </xf>
    <xf numFmtId="49" fontId="75" fillId="0" borderId="11" xfId="0" applyNumberFormat="1" applyFont="1" applyBorder="1" applyAlignment="1">
      <alignment horizontal="center" vertical="center"/>
    </xf>
    <xf numFmtId="49" fontId="75" fillId="0" borderId="25" xfId="0" applyNumberFormat="1" applyFont="1" applyBorder="1" applyAlignment="1">
      <alignment horizontal="center" vertical="center"/>
    </xf>
    <xf numFmtId="0" fontId="70" fillId="18" borderId="11" xfId="0" applyFont="1" applyFill="1" applyBorder="1" applyAlignment="1">
      <alignment horizontal="center" vertical="center" wrapText="1"/>
    </xf>
    <xf numFmtId="0" fontId="70" fillId="18" borderId="3" xfId="0" applyFont="1" applyFill="1" applyBorder="1" applyAlignment="1">
      <alignment horizontal="center" vertical="center" wrapText="1"/>
    </xf>
    <xf numFmtId="0" fontId="70" fillId="18" borderId="25" xfId="0" applyFont="1" applyFill="1" applyBorder="1" applyAlignment="1">
      <alignment horizontal="center" vertical="center" wrapText="1"/>
    </xf>
    <xf numFmtId="49" fontId="71" fillId="0" borderId="12" xfId="0" applyNumberFormat="1" applyFont="1" applyBorder="1" applyAlignment="1">
      <alignment horizontal="center" vertical="center"/>
    </xf>
    <xf numFmtId="49" fontId="71" fillId="0" borderId="52" xfId="0" applyNumberFormat="1" applyFont="1" applyBorder="1" applyAlignment="1">
      <alignment horizontal="center" vertical="center"/>
    </xf>
    <xf numFmtId="0" fontId="70" fillId="0" borderId="11" xfId="0" applyFont="1" applyBorder="1" applyAlignment="1">
      <alignment horizontal="left" vertical="center" wrapText="1"/>
    </xf>
    <xf numFmtId="0" fontId="70" fillId="0" borderId="3" xfId="0" applyFont="1" applyBorder="1" applyAlignment="1">
      <alignment horizontal="left" vertical="center" wrapText="1"/>
    </xf>
    <xf numFmtId="0" fontId="70" fillId="0" borderId="25" xfId="0" applyFont="1" applyBorder="1" applyAlignment="1">
      <alignment horizontal="left" vertical="center" wrapText="1"/>
    </xf>
    <xf numFmtId="0" fontId="70" fillId="0" borderId="11" xfId="0" applyFont="1" applyBorder="1" applyAlignment="1">
      <alignment horizontal="center" vertical="center" wrapText="1"/>
    </xf>
    <xf numFmtId="0" fontId="70" fillId="0" borderId="3" xfId="0" applyFont="1" applyBorder="1" applyAlignment="1">
      <alignment horizontal="center" vertical="center" wrapText="1"/>
    </xf>
    <xf numFmtId="0" fontId="70" fillId="0" borderId="25" xfId="0" applyFont="1" applyBorder="1" applyAlignment="1">
      <alignment horizontal="center" vertical="center" wrapText="1"/>
    </xf>
    <xf numFmtId="0" fontId="59" fillId="18" borderId="68" xfId="37" applyFont="1" applyFill="1" applyBorder="1" applyAlignment="1">
      <alignment horizontal="center" vertical="center" wrapText="1"/>
    </xf>
    <xf numFmtId="0" fontId="59" fillId="18" borderId="89" xfId="37" applyFont="1" applyFill="1" applyBorder="1" applyAlignment="1">
      <alignment horizontal="center" vertical="center" wrapText="1"/>
    </xf>
    <xf numFmtId="0" fontId="59" fillId="18" borderId="63" xfId="37" applyFont="1" applyFill="1" applyBorder="1" applyAlignment="1">
      <alignment horizontal="center" vertical="center" wrapText="1"/>
    </xf>
    <xf numFmtId="0" fontId="59" fillId="18" borderId="29" xfId="37" applyFont="1" applyFill="1" applyBorder="1" applyAlignment="1">
      <alignment horizontal="center" vertical="center" wrapText="1"/>
    </xf>
    <xf numFmtId="0" fontId="59" fillId="18" borderId="64" xfId="37" applyFont="1" applyFill="1" applyBorder="1" applyAlignment="1">
      <alignment horizontal="center" vertical="top" wrapText="1"/>
    </xf>
    <xf numFmtId="0" fontId="59" fillId="18" borderId="65" xfId="37" applyFont="1" applyFill="1" applyBorder="1" applyAlignment="1">
      <alignment horizontal="center" vertical="top" wrapText="1"/>
    </xf>
    <xf numFmtId="0" fontId="59" fillId="18" borderId="46" xfId="37" applyFont="1" applyFill="1" applyBorder="1" applyAlignment="1">
      <alignment horizontal="center" vertical="top" wrapText="1"/>
    </xf>
    <xf numFmtId="0" fontId="59" fillId="18" borderId="85" xfId="37" applyFont="1" applyFill="1" applyBorder="1" applyAlignment="1">
      <alignment horizontal="center" vertical="top" wrapText="1"/>
    </xf>
    <xf numFmtId="192" fontId="59" fillId="18" borderId="63" xfId="37" applyNumberFormat="1" applyFont="1" applyFill="1" applyBorder="1" applyAlignment="1">
      <alignment horizontal="center" vertical="top" wrapText="1"/>
    </xf>
    <xf numFmtId="192" fontId="59" fillId="18" borderId="29" xfId="37" applyNumberFormat="1" applyFont="1" applyFill="1" applyBorder="1" applyAlignment="1">
      <alignment horizontal="center" vertical="top" wrapText="1"/>
    </xf>
    <xf numFmtId="192" fontId="59" fillId="18" borderId="64" xfId="37" applyNumberFormat="1" applyFont="1" applyFill="1" applyBorder="1" applyAlignment="1">
      <alignment horizontal="center" vertical="top" wrapText="1"/>
    </xf>
    <xf numFmtId="192" fontId="59" fillId="18" borderId="5" xfId="37" applyNumberFormat="1" applyFont="1" applyFill="1" applyBorder="1" applyAlignment="1">
      <alignment horizontal="center" vertical="top" wrapText="1"/>
    </xf>
    <xf numFmtId="192" fontId="59" fillId="18" borderId="65" xfId="37" applyNumberFormat="1" applyFont="1" applyFill="1" applyBorder="1" applyAlignment="1">
      <alignment horizontal="center" vertical="top" wrapText="1"/>
    </xf>
    <xf numFmtId="192" fontId="59" fillId="18" borderId="46" xfId="37" applyNumberFormat="1" applyFont="1" applyFill="1" applyBorder="1" applyAlignment="1">
      <alignment horizontal="center" vertical="top" wrapText="1"/>
    </xf>
    <xf numFmtId="192" fontId="59" fillId="18" borderId="0" xfId="37" applyNumberFormat="1" applyFont="1" applyFill="1" applyAlignment="1">
      <alignment horizontal="center" vertical="top" wrapText="1"/>
    </xf>
    <xf numFmtId="192" fontId="59" fillId="18" borderId="85" xfId="37" applyNumberFormat="1" applyFont="1" applyFill="1" applyBorder="1" applyAlignment="1">
      <alignment horizontal="center" vertical="top" wrapText="1"/>
    </xf>
    <xf numFmtId="0" fontId="12" fillId="18" borderId="57" xfId="37" applyFont="1" applyFill="1" applyBorder="1" applyAlignment="1">
      <alignment horizontal="center" vertical="top" wrapText="1"/>
    </xf>
    <xf numFmtId="0" fontId="12" fillId="18" borderId="62" xfId="37" applyFont="1" applyFill="1" applyBorder="1" applyAlignment="1">
      <alignment horizontal="center" vertical="top" wrapText="1"/>
    </xf>
    <xf numFmtId="0" fontId="12" fillId="18" borderId="86" xfId="37" applyFont="1" applyFill="1" applyBorder="1" applyAlignment="1">
      <alignment horizontal="center" vertical="top" wrapText="1"/>
    </xf>
    <xf numFmtId="0" fontId="12" fillId="18" borderId="90" xfId="37" applyFont="1" applyFill="1" applyBorder="1" applyAlignment="1">
      <alignment horizontal="center" vertical="top" wrapText="1"/>
    </xf>
    <xf numFmtId="0" fontId="59" fillId="18" borderId="67" xfId="37" applyFont="1" applyFill="1" applyBorder="1" applyAlignment="1">
      <alignment horizontal="center" vertical="top" wrapText="1"/>
    </xf>
    <xf numFmtId="0" fontId="59" fillId="18" borderId="58" xfId="37" applyFont="1" applyFill="1" applyBorder="1" applyAlignment="1">
      <alignment horizontal="center" vertical="top" wrapText="1"/>
    </xf>
    <xf numFmtId="0" fontId="59" fillId="18" borderId="62" xfId="37" applyFont="1" applyFill="1" applyBorder="1" applyAlignment="1">
      <alignment horizontal="center" vertical="top" wrapText="1"/>
    </xf>
    <xf numFmtId="0" fontId="59" fillId="18" borderId="11" xfId="37" applyFont="1" applyFill="1" applyBorder="1" applyAlignment="1">
      <alignment horizontal="left" vertical="center" wrapText="1"/>
    </xf>
    <xf numFmtId="0" fontId="59" fillId="18" borderId="3" xfId="37" applyFont="1" applyFill="1" applyBorder="1" applyAlignment="1">
      <alignment horizontal="left" vertical="center" wrapText="1"/>
    </xf>
    <xf numFmtId="0" fontId="59" fillId="18" borderId="25" xfId="37" applyFont="1" applyFill="1" applyBorder="1" applyAlignment="1">
      <alignment horizontal="left" vertical="center" wrapText="1"/>
    </xf>
    <xf numFmtId="0" fontId="59" fillId="0" borderId="63" xfId="37" applyFont="1" applyBorder="1" applyAlignment="1">
      <alignment horizontal="center" vertical="center" wrapText="1"/>
    </xf>
    <xf numFmtId="0" fontId="59" fillId="0" borderId="29" xfId="37" applyFont="1" applyBorder="1" applyAlignment="1">
      <alignment horizontal="center" vertical="center" wrapText="1"/>
    </xf>
    <xf numFmtId="0" fontId="59" fillId="0" borderId="60" xfId="37" applyFont="1" applyBorder="1" applyAlignment="1">
      <alignment horizontal="center" vertical="center" wrapText="1"/>
    </xf>
    <xf numFmtId="0" fontId="12" fillId="0" borderId="46" xfId="37" applyFont="1" applyBorder="1" applyAlignment="1">
      <alignment horizontal="left" vertical="top" wrapText="1"/>
    </xf>
    <xf numFmtId="0" fontId="12" fillId="0" borderId="85" xfId="37" applyFont="1" applyBorder="1" applyAlignment="1">
      <alignment horizontal="left" vertical="top" wrapText="1"/>
    </xf>
    <xf numFmtId="0" fontId="12" fillId="0" borderId="36" xfId="37" applyFont="1" applyBorder="1" applyAlignment="1">
      <alignment horizontal="left" vertical="top" wrapText="1"/>
    </xf>
    <xf numFmtId="0" fontId="12" fillId="0" borderId="1" xfId="37" applyFont="1" applyBorder="1" applyAlignment="1">
      <alignment horizontal="left" vertical="top" wrapText="1"/>
    </xf>
    <xf numFmtId="0" fontId="12" fillId="0" borderId="88" xfId="37" applyFont="1" applyBorder="1" applyAlignment="1">
      <alignment horizontal="left" vertical="top" wrapText="1"/>
    </xf>
    <xf numFmtId="0" fontId="12" fillId="0" borderId="49" xfId="37" applyFont="1" applyBorder="1" applyAlignment="1">
      <alignment horizontal="left" vertical="top" wrapText="1"/>
    </xf>
    <xf numFmtId="0" fontId="12" fillId="0" borderId="46" xfId="37" applyFont="1" applyBorder="1" applyAlignment="1">
      <alignment horizontal="center" vertical="top" wrapText="1"/>
    </xf>
    <xf numFmtId="0" fontId="12" fillId="0" borderId="85" xfId="37" applyFont="1" applyBorder="1" applyAlignment="1">
      <alignment horizontal="center" vertical="top" wrapText="1"/>
    </xf>
    <xf numFmtId="0" fontId="12" fillId="0" borderId="31" xfId="37" applyFont="1" applyBorder="1" applyAlignment="1">
      <alignment horizontal="left" vertical="top" wrapText="1"/>
    </xf>
    <xf numFmtId="0" fontId="65" fillId="0" borderId="42" xfId="0" applyFont="1" applyBorder="1" applyAlignment="1">
      <alignment horizontal="left" vertical="top" wrapText="1"/>
    </xf>
    <xf numFmtId="0" fontId="65" fillId="0" borderId="32" xfId="0" applyFont="1" applyBorder="1" applyAlignment="1">
      <alignment horizontal="left" vertical="top" wrapText="1"/>
    </xf>
    <xf numFmtId="0" fontId="65" fillId="0" borderId="54" xfId="0" applyFont="1" applyBorder="1" applyAlignment="1">
      <alignment horizontal="left" vertical="top" wrapText="1"/>
    </xf>
    <xf numFmtId="0" fontId="12" fillId="0" borderId="29" xfId="37" applyFont="1" applyBorder="1" applyAlignment="1">
      <alignment horizontal="center" vertical="center" textRotation="255" wrapText="1"/>
    </xf>
    <xf numFmtId="0" fontId="12" fillId="0" borderId="28" xfId="37" applyFont="1" applyBorder="1" applyAlignment="1">
      <alignment horizontal="center" vertical="center" textRotation="255" wrapText="1"/>
    </xf>
    <xf numFmtId="0" fontId="12" fillId="0" borderId="36" xfId="37" applyFont="1" applyBorder="1" applyAlignment="1">
      <alignment horizontal="center" vertical="top" wrapText="1"/>
    </xf>
    <xf numFmtId="0" fontId="12" fillId="0" borderId="88" xfId="37" applyFont="1" applyBorder="1" applyAlignment="1">
      <alignment horizontal="center" vertical="top" wrapText="1"/>
    </xf>
    <xf numFmtId="0" fontId="12" fillId="0" borderId="86" xfId="37" applyFont="1" applyBorder="1" applyAlignment="1">
      <alignment horizontal="left" vertical="top" wrapText="1"/>
    </xf>
    <xf numFmtId="0" fontId="12" fillId="0" borderId="87" xfId="37" applyFont="1" applyBorder="1" applyAlignment="1">
      <alignment horizontal="left" vertical="top" wrapText="1"/>
    </xf>
    <xf numFmtId="0" fontId="65" fillId="0" borderId="88" xfId="0" applyFont="1" applyBorder="1" applyAlignment="1">
      <alignment horizontal="left" vertical="top" wrapText="1"/>
    </xf>
    <xf numFmtId="0" fontId="65" fillId="0" borderId="87" xfId="0" applyFont="1" applyBorder="1" applyAlignment="1">
      <alignment horizontal="left" vertical="top" wrapText="1"/>
    </xf>
    <xf numFmtId="0" fontId="12" fillId="0" borderId="50" xfId="37" applyFont="1" applyBorder="1" applyAlignment="1">
      <alignment horizontal="center" vertical="center" textRotation="255" wrapText="1"/>
    </xf>
    <xf numFmtId="0" fontId="65" fillId="0" borderId="85" xfId="0" applyFont="1" applyBorder="1" applyAlignment="1">
      <alignment horizontal="left" vertical="top" wrapText="1"/>
    </xf>
    <xf numFmtId="0" fontId="65" fillId="0" borderId="46" xfId="0" applyFont="1" applyBorder="1" applyAlignment="1">
      <alignment horizontal="left" vertical="top" wrapText="1"/>
    </xf>
    <xf numFmtId="0" fontId="65" fillId="0" borderId="36" xfId="0" applyFont="1" applyBorder="1" applyAlignment="1">
      <alignment horizontal="left" vertical="top" wrapText="1"/>
    </xf>
    <xf numFmtId="0" fontId="65" fillId="0" borderId="43" xfId="0" applyFont="1" applyBorder="1" applyAlignment="1">
      <alignment horizontal="left" vertical="top" wrapText="1"/>
    </xf>
    <xf numFmtId="0" fontId="65" fillId="0" borderId="66" xfId="0" applyFont="1" applyBorder="1" applyAlignment="1">
      <alignment horizontal="left" vertical="top" wrapText="1"/>
    </xf>
    <xf numFmtId="0" fontId="12" fillId="0" borderId="37" xfId="37" applyFont="1" applyBorder="1" applyAlignment="1">
      <alignment horizontal="left" vertical="top" wrapText="1"/>
    </xf>
    <xf numFmtId="0" fontId="65" fillId="0" borderId="61" xfId="0" applyFont="1" applyBorder="1" applyAlignment="1">
      <alignment horizontal="left" vertical="top" wrapText="1"/>
    </xf>
    <xf numFmtId="0" fontId="65" fillId="0" borderId="56" xfId="0" applyFont="1" applyBorder="1" applyAlignment="1">
      <alignment horizontal="left" vertical="top" wrapText="1"/>
    </xf>
    <xf numFmtId="0" fontId="65" fillId="0" borderId="55" xfId="0" applyFont="1" applyBorder="1" applyAlignment="1">
      <alignment horizontal="left" vertical="top" wrapText="1"/>
    </xf>
    <xf numFmtId="49" fontId="68" fillId="0" borderId="11" xfId="0" applyNumberFormat="1" applyFont="1" applyBorder="1" applyAlignment="1">
      <alignment horizontal="center" vertical="top"/>
    </xf>
    <xf numFmtId="49" fontId="68" fillId="0" borderId="25" xfId="0" applyNumberFormat="1" applyFont="1" applyBorder="1" applyAlignment="1">
      <alignment horizontal="center" vertical="top"/>
    </xf>
  </cellXfs>
  <cellStyles count="44">
    <cellStyle name="0301" xfId="1" xr:uid="{2A6E0CF8-4AC1-C94D-BED9-A6C4D2039A92}"/>
    <cellStyle name="0_x0014_標準_F_02?P_Dd080301" xfId="2" xr:uid="{A8330C79-AEC9-BF4A-B1AD-E65EF2CA9F46}"/>
    <cellStyle name="Calc Currency (0)" xfId="3" xr:uid="{EDA58F75-97EC-5444-B7EA-7C3C98F2C1E7}"/>
    <cellStyle name="Calc Currency (0) 2" xfId="4" xr:uid="{6083BFC3-6A47-6C45-908B-A8B9F42AD886}"/>
    <cellStyle name="Calc Currency (0) 2 2" xfId="5" xr:uid="{D81CB8B0-F99E-6147-A729-3E18C6F23AC7}"/>
    <cellStyle name="Calc Currency (0) 3" xfId="6" xr:uid="{C5185668-1D7C-2245-B574-BB873019DF96}"/>
    <cellStyle name="FONT9" xfId="7" xr:uid="{7F915ABB-24EE-184C-A8B5-AC6F3BB26F4A}"/>
    <cellStyle name="font9 right" xfId="8" xr:uid="{EBC7CFC0-B301-394D-BEEB-D166551F7CA4}"/>
    <cellStyle name="Grey" xfId="9" xr:uid="{1D43D47B-4B0C-C94B-A91B-114F365035CA}"/>
    <cellStyle name="Header1" xfId="10" xr:uid="{284D85A5-65A6-CF43-9737-7C10EA9FE65E}"/>
    <cellStyle name="Header2" xfId="11" xr:uid="{A5059068-698A-5F45-ADDA-0B6970581F04}"/>
    <cellStyle name="IBM(401K)" xfId="12" xr:uid="{1F5415DF-B695-9541-A147-FCCE70585294}"/>
    <cellStyle name="Input [yellow]" xfId="13" xr:uid="{75A4D583-AD9A-C144-BC2C-957256B2C583}"/>
    <cellStyle name="J401K" xfId="14" xr:uid="{461B8CF6-A09F-2744-8319-AC43055211FA}"/>
    <cellStyle name="KWE標準" xfId="15" xr:uid="{50AE33D7-09A0-4E44-BE20-A075A387AA00}"/>
    <cellStyle name="Milliers [0]_AR1194" xfId="16" xr:uid="{E648847D-491E-764C-AAE5-271D5B1584B8}"/>
    <cellStyle name="Milliers_AR1194" xfId="17" xr:uid="{237417F0-C961-E046-A0B8-416A89A59285}"/>
    <cellStyle name="Mon騁aire [0]_AR1194" xfId="18" xr:uid="{C9FD707B-F6D5-3448-8BB9-51B9433EDFE3}"/>
    <cellStyle name="Mon騁aire_AR1194" xfId="19" xr:uid="{99475189-5A50-6F4E-837C-61B0956EA40F}"/>
    <cellStyle name="Normal - Style1" xfId="20" xr:uid="{DCF10207-EDFF-ED4A-9D3C-1B0F6CB3B19D}"/>
    <cellStyle name="Normal_#18-Internet" xfId="21" xr:uid="{CC319CCC-7F5E-2E4A-81DF-0DBB1D32B7C9}"/>
    <cellStyle name="Percent [2]" xfId="22" xr:uid="{F82D61B9-CCC6-2843-93BA-32B10102FCB7}"/>
    <cellStyle name="パーセント 2" xfId="23" xr:uid="{5C3D5043-C003-9A42-B12F-4514500AC15F}"/>
    <cellStyle name="標準 2" xfId="27" xr:uid="{98541A87-46A0-6147-8F5B-30C9782FFDF7}"/>
    <cellStyle name="標準 3" xfId="28" xr:uid="{3CD54231-F47F-704D-BF16-3073CC41DA1B}"/>
    <cellStyle name="標準_config定義書" xfId="29" xr:uid="{2E7939DD-F7DF-0641-8202-3F046261ED71}"/>
    <cellStyle name="標準_PJG_tanpomeisai" xfId="30" xr:uid="{C4E3B8B1-5117-2D42-83C6-C8CA272DF742}"/>
    <cellStyle name="標準_PJG_tanpomeisai_config定義書" xfId="31" xr:uid="{009CE381-1A4D-E945-8644-095F137A323E}"/>
    <cellStyle name="標準_PJG_tanpomeisai_修正履歴" xfId="32" xr:uid="{8EFCE68A-2790-B642-9E7E-61CB85830D63}"/>
    <cellStyle name="標準_Sheet1" xfId="33" xr:uid="{5A466652-B88D-F341-BA4B-3AF112A99401}"/>
    <cellStyle name="標準_変更履歴" xfId="40" xr:uid="{B7D6DA56-5635-8844-A0F1-D25CEF8C1BC8}"/>
    <cellStyle name="標準_財務情報一覧_RT-RT-00315_信用格付_定性要因画面_単体テスト仕様書_RT-RT-00894_債務者区分共通化_単体テスト仕様書" xfId="35" xr:uid="{A4170B4A-F4CD-4548-9ED3-482E7C3EFF6D}"/>
    <cellStyle name="標準_財務情報一覧_RT-RT-00315_信用格付_定性要因画面_単体テスト仕様書_RT-RT-02578_00894_単体テスト仕様書" xfId="36" xr:uid="{EE9B1D3A-5A4A-2C4D-97B9-2C6107DAB792}"/>
    <cellStyle name="標準_雛形_単体テストケース" xfId="37" xr:uid="{24C37349-C97A-3646-B700-EE967A3B5E5E}"/>
    <cellStyle name="標準_単体テスト結果書チェックリスト（担当者向け）" xfId="38" xr:uid="{5183A2D5-870D-0B47-A6E6-793DECCB2CA3}"/>
    <cellStyle name="標準_単体テスト仕様書チェックリスト（担当者向け）" xfId="39" xr:uid="{63B48B64-19C0-E14A-B4FF-E9DF2D2D2D31}"/>
    <cellStyle name="標準_共通テスト項目の一部_1_画面平仄確認チェックシート" xfId="34" xr:uid="{172BF883-62A8-474D-AD03-43AC3587BEA9}"/>
    <cellStyle name="標準_要査定先リスト_RT-RT-00315_信用格付_定性要因画面_単体テスト仕様書_RT-RT-02578_00894_単体テスト仕様書" xfId="41" xr:uid="{6A23B365-0DAA-0E4E-A96C-97F92005AA5E}"/>
    <cellStyle name="標準Ｎ" xfId="42" xr:uid="{F0DDD20F-5CDC-D848-803C-9F43BA91359E}"/>
    <cellStyle name="常规" xfId="0" builtinId="0"/>
    <cellStyle name="上詰め＋折返し" xfId="24" xr:uid="{F7966137-BB42-E24C-9219-6F52EEC214A6}"/>
    <cellStyle name="脱浦 [0.00]_・脱モジュール" xfId="25" xr:uid="{142AC50C-F7B2-C646-8F1D-86695572285B}"/>
    <cellStyle name="脱浦_・脱モジュール" xfId="26" xr:uid="{2C87D945-8FB4-7044-BE14-230D5426AE78}"/>
    <cellStyle name="未定義" xfId="43" xr:uid="{C1D4BD94-495F-9F43-AE97-1B31C0D9A33A}"/>
  </cellStyles>
  <dxfs count="14">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numFmt numFmtId="0" formatCode="General"/>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CheckBox" fmlaLink="$M$12"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fmlaLink="$M$9" lockText="1" noThreeD="1"/>
</file>

<file path=xl/ctrlProps/ctrlProp7.xml><?xml version="1.0" encoding="utf-8"?>
<formControlPr xmlns="http://schemas.microsoft.com/office/spreadsheetml/2009/9/main" objectType="CheckBox" fmlaLink="$M$10" lockText="1" noThreeD="1"/>
</file>

<file path=xl/ctrlProps/ctrlProp8.xml><?xml version="1.0" encoding="utf-8"?>
<formControlPr xmlns="http://schemas.microsoft.com/office/spreadsheetml/2009/9/main" objectType="CheckBox" fmlaLink="$M$11" lockText="1" noThreeD="1"/>
</file>

<file path=xl/ctrlProps/ctrlProp9.xml><?xml version="1.0" encoding="utf-8"?>
<formControlPr xmlns="http://schemas.microsoft.com/office/spreadsheetml/2009/9/main" objectType="CheckBox" fmlaLink="$M$13" lockText="1" noThreeD="1"/>
</file>

<file path=xl/ctrlProps/ctrlProp10.xml><?xml version="1.0" encoding="utf-8"?>
<formControlPr xmlns="http://schemas.microsoft.com/office/spreadsheetml/2009/9/main" objectType="CheckBox" checked="Checked" fmlaLink="$M$12"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fmlaLink="$M$9" lockText="1" noThreeD="1"/>
</file>

<file path=xl/ctrlProps/ctrlProp15.xml><?xml version="1.0" encoding="utf-8"?>
<formControlPr xmlns="http://schemas.microsoft.com/office/spreadsheetml/2009/9/main" objectType="CheckBox" checked="Checked" fmlaLink="$M$10" lockText="1" noThreeD="1"/>
</file>

<file path=xl/ctrlProps/ctrlProp16.xml><?xml version="1.0" encoding="utf-8"?>
<formControlPr xmlns="http://schemas.microsoft.com/office/spreadsheetml/2009/9/main" objectType="CheckBox" checked="Checked" fmlaLink="$M$11" lockText="1" noThreeD="1"/>
</file>

<file path=xl/ctrlProps/ctrlProp17.xml><?xml version="1.0" encoding="utf-8"?>
<formControlPr xmlns="http://schemas.microsoft.com/office/spreadsheetml/2009/9/main" objectType="CheckBox" checked="Checked" fmlaLink="$O$17"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fmlaLink="$O$13" lockText="1" noThreeD="1"/>
</file>

<file path=xl/ctrlProps/ctrlProp22.xml><?xml version="1.0" encoding="utf-8"?>
<formControlPr xmlns="http://schemas.microsoft.com/office/spreadsheetml/2009/9/main" objectType="CheckBox" checked="Checked" fmlaLink="$O$14" lockText="1" noThreeD="1"/>
</file>

<file path=xl/ctrlProps/ctrlProp23.xml><?xml version="1.0" encoding="utf-8"?>
<formControlPr xmlns="http://schemas.microsoft.com/office/spreadsheetml/2009/9/main" objectType="CheckBox" checked="Checked" fmlaLink="$O$15" lockText="1" noThreeD="1"/>
</file>

<file path=xl/ctrlProps/ctrlProp24.xml><?xml version="1.0" encoding="utf-8"?>
<formControlPr xmlns="http://schemas.microsoft.com/office/spreadsheetml/2009/9/main" objectType="CheckBox" checked="Checked" fmlaLink="$O$16" lockText="1" noThreeD="1"/>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203200</xdr:colOff>
          <xdr:row>11</xdr:row>
          <xdr:rowOff>0</xdr:rowOff>
        </xdr:from>
        <xdr:to>
          <xdr:col>3</xdr:col>
          <xdr:colOff>0</xdr:colOff>
          <xdr:row>12</xdr:row>
          <xdr:rowOff>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2053ECD6-E0AE-0DB6-0157-7279C1E8F3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0</xdr:rowOff>
        </xdr:from>
        <xdr:to>
          <xdr:col>3</xdr:col>
          <xdr:colOff>0</xdr:colOff>
          <xdr:row>9</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A86260A3-832C-611E-3C6F-48735CE4BBD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0</xdr:rowOff>
        </xdr:from>
        <xdr:to>
          <xdr:col>3</xdr:col>
          <xdr:colOff>0</xdr:colOff>
          <xdr:row>10</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F4ADDAEC-CA01-2951-D811-B52C2FF9BE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0</xdr:rowOff>
        </xdr:from>
        <xdr:to>
          <xdr:col>3</xdr:col>
          <xdr:colOff>0</xdr:colOff>
          <xdr:row>11</xdr:row>
          <xdr:rowOff>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5344026-AF91-7700-5567-D6B26E21A9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0</xdr:rowOff>
        </xdr:from>
        <xdr:to>
          <xdr:col>3</xdr:col>
          <xdr:colOff>0</xdr:colOff>
          <xdr:row>13</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B669C1A7-5CC0-5726-FA67-98F82DD45B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0</xdr:rowOff>
        </xdr:from>
        <xdr:to>
          <xdr:col>3</xdr:col>
          <xdr:colOff>0</xdr:colOff>
          <xdr:row>9</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E6C0A4A3-BD23-7893-2008-70B60CB460F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0</xdr:rowOff>
        </xdr:from>
        <xdr:to>
          <xdr:col>3</xdr:col>
          <xdr:colOff>0</xdr:colOff>
          <xdr:row>10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2050C537-4CE1-DBC8-3E59-5AF8F163787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0</xdr:rowOff>
        </xdr:from>
        <xdr:to>
          <xdr:col>3</xdr:col>
          <xdr:colOff>0</xdr:colOff>
          <xdr:row>11</xdr:row>
          <xdr:rowOff>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B13ABD96-3807-23BF-4B49-DCA3CBDD5B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0</xdr:rowOff>
        </xdr:from>
        <xdr:to>
          <xdr:col>3</xdr:col>
          <xdr:colOff>0</xdr:colOff>
          <xdr:row>13</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737CA5D2-3440-14B5-B000-3C57527A74B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203200</xdr:colOff>
          <xdr:row>11</xdr:row>
          <xdr:rowOff>0</xdr:rowOff>
        </xdr:from>
        <xdr:to>
          <xdr:col>3</xdr:col>
          <xdr:colOff>0</xdr:colOff>
          <xdr:row>12</xdr:row>
          <xdr:rowOff>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505CA164-1A94-0ECA-9DE1-986649AE95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0</xdr:rowOff>
        </xdr:from>
        <xdr:to>
          <xdr:col>3</xdr:col>
          <xdr:colOff>0</xdr:colOff>
          <xdr:row>9</xdr:row>
          <xdr:rowOff>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F60CE97F-8A2E-5133-526F-80987DD87D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0</xdr:rowOff>
        </xdr:from>
        <xdr:to>
          <xdr:col>3</xdr:col>
          <xdr:colOff>0</xdr:colOff>
          <xdr:row>10</xdr:row>
          <xdr:rowOff>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5C7990AD-B154-CADE-03E1-4B00FFB92A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0</xdr:rowOff>
        </xdr:from>
        <xdr:to>
          <xdr:col>3</xdr:col>
          <xdr:colOff>0</xdr:colOff>
          <xdr:row>11</xdr:row>
          <xdr:rowOff>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99436384-1445-6BB4-DD82-2D252E7B09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0</xdr:rowOff>
        </xdr:from>
        <xdr:to>
          <xdr:col>3</xdr:col>
          <xdr:colOff>0</xdr:colOff>
          <xdr:row>9</xdr:row>
          <xdr:rowOff>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861AF55F-8FB1-76C0-29E4-6B58F50C742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0</xdr:rowOff>
        </xdr:from>
        <xdr:to>
          <xdr:col>3</xdr:col>
          <xdr:colOff>0</xdr:colOff>
          <xdr:row>10</xdr:row>
          <xdr:rowOff>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B5421B7C-907C-4078-895D-50B38A22D1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0</xdr:rowOff>
        </xdr:from>
        <xdr:to>
          <xdr:col>3</xdr:col>
          <xdr:colOff>0</xdr:colOff>
          <xdr:row>11</xdr:row>
          <xdr:rowOff>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530A85DE-B9A2-8099-B755-325EB39A1E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203200</xdr:colOff>
          <xdr:row>16</xdr:row>
          <xdr:rowOff>0</xdr:rowOff>
        </xdr:from>
        <xdr:to>
          <xdr:col>3</xdr:col>
          <xdr:colOff>0</xdr:colOff>
          <xdr:row>18</xdr:row>
          <xdr:rowOff>63500</xdr:rowOff>
        </xdr:to>
        <xdr:sp macro="" textlink="">
          <xdr:nvSpPr>
            <xdr:cNvPr id="13320" name="Check Box 8" hidden="1">
              <a:extLst>
                <a:ext uri="{63B3BB69-23CF-44E3-9099-C40C66FF867C}">
                  <a14:compatExt spid="_x0000_s13320"/>
                </a:ext>
                <a:ext uri="{FF2B5EF4-FFF2-40B4-BE49-F238E27FC236}">
                  <a16:creationId xmlns:a16="http://schemas.microsoft.com/office/drawing/2014/main" id="{427DE082-969B-6A8B-10CE-204C485C22A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0</xdr:rowOff>
        </xdr:from>
        <xdr:to>
          <xdr:col>3</xdr:col>
          <xdr:colOff>0</xdr:colOff>
          <xdr:row>18</xdr:row>
          <xdr:rowOff>63500</xdr:rowOff>
        </xdr:to>
        <xdr:sp macro="" textlink="">
          <xdr:nvSpPr>
            <xdr:cNvPr id="13321" name="Check Box 9" hidden="1">
              <a:extLst>
                <a:ext uri="{63B3BB69-23CF-44E3-9099-C40C66FF867C}">
                  <a14:compatExt spid="_x0000_s13321"/>
                </a:ext>
                <a:ext uri="{FF2B5EF4-FFF2-40B4-BE49-F238E27FC236}">
                  <a16:creationId xmlns:a16="http://schemas.microsoft.com/office/drawing/2014/main" id="{A35B41C6-73A1-6439-DE12-07507CCD76D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13</xdr:row>
          <xdr:rowOff>0</xdr:rowOff>
        </xdr:from>
        <xdr:to>
          <xdr:col>3</xdr:col>
          <xdr:colOff>0</xdr:colOff>
          <xdr:row>18</xdr:row>
          <xdr:rowOff>63500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43F62DC2-CA32-3B65-4450-1624B7BC4A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14</xdr:row>
          <xdr:rowOff>0</xdr:rowOff>
        </xdr:from>
        <xdr:to>
          <xdr:col>3</xdr:col>
          <xdr:colOff>0</xdr:colOff>
          <xdr:row>18</xdr:row>
          <xdr:rowOff>63500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id="{6C026213-C56E-1E3C-D104-D6E848DCD2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0</xdr:rowOff>
        </xdr:from>
        <xdr:to>
          <xdr:col>3</xdr:col>
          <xdr:colOff>0</xdr:colOff>
          <xdr:row>18</xdr:row>
          <xdr:rowOff>63500</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id="{E2946915-74A0-42AA-015F-FCE74CB2E1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13</xdr:row>
          <xdr:rowOff>0</xdr:rowOff>
        </xdr:from>
        <xdr:to>
          <xdr:col>3</xdr:col>
          <xdr:colOff>0</xdr:colOff>
          <xdr:row>18</xdr:row>
          <xdr:rowOff>63500</xdr:rowOff>
        </xdr:to>
        <xdr:sp macro="" textlink="">
          <xdr:nvSpPr>
            <xdr:cNvPr id="13325" name="Check Box 13" hidden="1">
              <a:extLst>
                <a:ext uri="{63B3BB69-23CF-44E3-9099-C40C66FF867C}">
                  <a14:compatExt spid="_x0000_s13325"/>
                </a:ext>
                <a:ext uri="{FF2B5EF4-FFF2-40B4-BE49-F238E27FC236}">
                  <a16:creationId xmlns:a16="http://schemas.microsoft.com/office/drawing/2014/main" id="{97957D99-8923-7380-F2C5-C329DB59689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14</xdr:row>
          <xdr:rowOff>0</xdr:rowOff>
        </xdr:from>
        <xdr:to>
          <xdr:col>3</xdr:col>
          <xdr:colOff>0</xdr:colOff>
          <xdr:row>18</xdr:row>
          <xdr:rowOff>63500</xdr:rowOff>
        </xdr:to>
        <xdr:sp macro="" textlink="">
          <xdr:nvSpPr>
            <xdr:cNvPr id="13326" name="Check Box 14" hidden="1">
              <a:extLst>
                <a:ext uri="{63B3BB69-23CF-44E3-9099-C40C66FF867C}">
                  <a14:compatExt spid="_x0000_s13326"/>
                </a:ext>
                <a:ext uri="{FF2B5EF4-FFF2-40B4-BE49-F238E27FC236}">
                  <a16:creationId xmlns:a16="http://schemas.microsoft.com/office/drawing/2014/main" id="{A0697445-3902-D2B0-89B9-122751D4A5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0</xdr:rowOff>
        </xdr:from>
        <xdr:to>
          <xdr:col>3</xdr:col>
          <xdr:colOff>0</xdr:colOff>
          <xdr:row>18</xdr:row>
          <xdr:rowOff>63500</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1CFE32CB-4717-A73A-0CA6-ECCA2ADE67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7</xdr:col>
      <xdr:colOff>813435</xdr:colOff>
      <xdr:row>2</xdr:row>
      <xdr:rowOff>118110</xdr:rowOff>
    </xdr:from>
    <xdr:to>
      <xdr:col>7</xdr:col>
      <xdr:colOff>1910840</xdr:colOff>
      <xdr:row>3</xdr:row>
      <xdr:rowOff>305</xdr:rowOff>
    </xdr:to>
    <xdr:sp macro="" textlink="">
      <xdr:nvSpPr>
        <xdr:cNvPr id="2" name="AutoShape 2">
          <a:extLst>
            <a:ext uri="{FF2B5EF4-FFF2-40B4-BE49-F238E27FC236}">
              <a16:creationId xmlns:a16="http://schemas.microsoft.com/office/drawing/2014/main" id="{48E33A63-05E0-0D99-1636-6CF6D0F50827}"/>
            </a:ext>
          </a:extLst>
        </xdr:cNvPr>
        <xdr:cNvSpPr>
          <a:spLocks noChangeArrowheads="1"/>
        </xdr:cNvSpPr>
      </xdr:nvSpPr>
      <xdr:spPr bwMode="auto">
        <a:xfrm>
          <a:off x="3352800" y="1943100"/>
          <a:ext cx="1095375" cy="476250"/>
        </a:xfrm>
        <a:prstGeom prst="wedgeRoundRectCallout">
          <a:avLst>
            <a:gd name="adj1" fmla="val -99565"/>
            <a:gd name="adj2" fmla="val 94000"/>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200"/>
            </a:lnSpc>
            <a:defRPr sz="1000"/>
          </a:pPr>
          <a:r>
            <a:rPr lang="ja-JP" altLang="en-US" sz="1100" b="1" i="0" strike="noStrike">
              <a:solidFill>
                <a:srgbClr val="FF0000"/>
              </a:solidFill>
              <a:latin typeface="ＭＳ Ｐゴシック"/>
              <a:ea typeface="ＭＳ Ｐゴシック"/>
            </a:rPr>
            <a:t>チェックする</a:t>
          </a:r>
          <a:r>
            <a:rPr lang="zh-CN" altLang="en-US" sz="1100" b="1" i="0" strike="noStrike">
              <a:solidFill>
                <a:srgbClr val="FF0000"/>
              </a:solidFill>
              <a:latin typeface="ＭＳ Ｐゴシック"/>
              <a:ea typeface="ＭＳ Ｐゴシック"/>
            </a:rPr>
            <a:t>条件</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15</xdr:col>
      <xdr:colOff>88265</xdr:colOff>
      <xdr:row>8</xdr:row>
      <xdr:rowOff>276225</xdr:rowOff>
    </xdr:from>
    <xdr:to>
      <xdr:col>22</xdr:col>
      <xdr:colOff>100797</xdr:colOff>
      <xdr:row>10</xdr:row>
      <xdr:rowOff>228782</xdr:rowOff>
    </xdr:to>
    <xdr:sp macro="" textlink="">
      <xdr:nvSpPr>
        <xdr:cNvPr id="3" name="AutoShape 3">
          <a:extLst>
            <a:ext uri="{FF2B5EF4-FFF2-40B4-BE49-F238E27FC236}">
              <a16:creationId xmlns:a16="http://schemas.microsoft.com/office/drawing/2014/main" id="{3ED51AFA-8B55-68BF-C4CB-F9AC2A5F064F}"/>
            </a:ext>
          </a:extLst>
        </xdr:cNvPr>
        <xdr:cNvSpPr>
          <a:spLocks noChangeArrowheads="1"/>
        </xdr:cNvSpPr>
      </xdr:nvSpPr>
      <xdr:spPr bwMode="auto">
        <a:xfrm>
          <a:off x="6153150" y="3857625"/>
          <a:ext cx="1304925" cy="657226"/>
        </a:xfrm>
        <a:prstGeom prst="wedgeRoundRectCallout">
          <a:avLst>
            <a:gd name="adj1" fmla="val -223722"/>
            <a:gd name="adj2" fmla="val -92028"/>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200"/>
            </a:lnSpc>
            <a:defRPr sz="1000"/>
          </a:pPr>
          <a:r>
            <a:rPr lang="ja-JP" altLang="en-US" sz="1100" b="1" i="0" strike="noStrike">
              <a:solidFill>
                <a:srgbClr val="FF0000"/>
              </a:solidFill>
              <a:latin typeface="ＭＳ Ｐゴシック"/>
              <a:ea typeface="ＭＳ Ｐゴシック"/>
            </a:rPr>
            <a:t>チェックする</a:t>
          </a:r>
          <a:r>
            <a:rPr lang="zh-CN" altLang="en-US" sz="1100" b="1" i="0" strike="noStrike">
              <a:solidFill>
                <a:srgbClr val="FF0000"/>
              </a:solidFill>
              <a:latin typeface="ＭＳ Ｐゴシック"/>
              <a:ea typeface="ＭＳ Ｐゴシック"/>
            </a:rPr>
            <a:t>条件</a:t>
          </a:r>
          <a:r>
            <a:rPr lang="ja-JP" altLang="en-US" sz="1100" b="1" i="0" strike="noStrike">
              <a:solidFill>
                <a:srgbClr val="FF0000"/>
              </a:solidFill>
              <a:latin typeface="ＭＳ Ｐゴシック"/>
              <a:ea typeface="ＭＳ Ｐゴシック"/>
            </a:rPr>
            <a:t>について</a:t>
          </a:r>
          <a:r>
            <a:rPr lang="zh-CN" altLang="en-US" sz="1100" b="1" i="0" strike="noStrike">
              <a:solidFill>
                <a:srgbClr val="FF0000"/>
              </a:solidFill>
              <a:latin typeface="ＭＳ Ｐゴシック"/>
              <a:ea typeface="ＭＳ Ｐゴシック"/>
            </a:rPr>
            <a:t>現象</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4</xdr:col>
      <xdr:colOff>146685</xdr:colOff>
      <xdr:row>1</xdr:row>
      <xdr:rowOff>0</xdr:rowOff>
    </xdr:from>
    <xdr:to>
      <xdr:col>6</xdr:col>
      <xdr:colOff>226330</xdr:colOff>
      <xdr:row>1</xdr:row>
      <xdr:rowOff>466912</xdr:rowOff>
    </xdr:to>
    <xdr:sp macro="" textlink="">
      <xdr:nvSpPr>
        <xdr:cNvPr id="4" name="AutoShape 4">
          <a:extLst>
            <a:ext uri="{FF2B5EF4-FFF2-40B4-BE49-F238E27FC236}">
              <a16:creationId xmlns:a16="http://schemas.microsoft.com/office/drawing/2014/main" id="{81E71EDC-137A-F38F-4934-3A3C12516409}"/>
            </a:ext>
          </a:extLst>
        </xdr:cNvPr>
        <xdr:cNvSpPr>
          <a:spLocks noChangeArrowheads="1"/>
        </xdr:cNvSpPr>
      </xdr:nvSpPr>
      <xdr:spPr bwMode="auto">
        <a:xfrm>
          <a:off x="1257300" y="209550"/>
          <a:ext cx="1095375" cy="476250"/>
        </a:xfrm>
        <a:prstGeom prst="wedgeRoundRectCallout">
          <a:avLst>
            <a:gd name="adj1" fmla="val 12606"/>
            <a:gd name="adj2" fmla="val 90000"/>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300"/>
            </a:lnSpc>
            <a:defRPr sz="1000"/>
          </a:pPr>
          <a:r>
            <a:rPr lang="zh-CN" altLang="en-US" sz="1100" b="1" i="0" strike="noStrike">
              <a:solidFill>
                <a:srgbClr val="FF0000"/>
              </a:solidFill>
              <a:latin typeface="ＭＳ Ｐゴシック"/>
              <a:ea typeface="ＭＳ Ｐゴシック"/>
            </a:rPr>
            <a:t>銀行英語名</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7</xdr:col>
      <xdr:colOff>1116330</xdr:colOff>
      <xdr:row>1</xdr:row>
      <xdr:rowOff>38100</xdr:rowOff>
    </xdr:from>
    <xdr:to>
      <xdr:col>8</xdr:col>
      <xdr:colOff>141434</xdr:colOff>
      <xdr:row>1</xdr:row>
      <xdr:rowOff>505012</xdr:rowOff>
    </xdr:to>
    <xdr:sp macro="" textlink="">
      <xdr:nvSpPr>
        <xdr:cNvPr id="5" name="AutoShape 5">
          <a:extLst>
            <a:ext uri="{FF2B5EF4-FFF2-40B4-BE49-F238E27FC236}">
              <a16:creationId xmlns:a16="http://schemas.microsoft.com/office/drawing/2014/main" id="{2515E388-0C11-6D0B-F328-2F82A96F667C}"/>
            </a:ext>
          </a:extLst>
        </xdr:cNvPr>
        <xdr:cNvSpPr>
          <a:spLocks noChangeArrowheads="1"/>
        </xdr:cNvSpPr>
      </xdr:nvSpPr>
      <xdr:spPr bwMode="auto">
        <a:xfrm>
          <a:off x="3657600" y="247650"/>
          <a:ext cx="1095375" cy="476250"/>
        </a:xfrm>
        <a:prstGeom prst="wedgeRoundRectCallout">
          <a:avLst>
            <a:gd name="adj1" fmla="val -54347"/>
            <a:gd name="adj2" fmla="val 84000"/>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200"/>
            </a:lnSpc>
            <a:defRPr sz="1000"/>
          </a:pPr>
          <a:r>
            <a:rPr lang="ja-JP" altLang="en-US" sz="1100" b="1" i="0" strike="noStrike">
              <a:solidFill>
                <a:srgbClr val="FF0000"/>
              </a:solidFill>
              <a:latin typeface="ＭＳ Ｐゴシック"/>
              <a:ea typeface="ＭＳ Ｐゴシック"/>
            </a:rPr>
            <a:t>サブシステム</a:t>
          </a:r>
          <a:r>
            <a:rPr lang="zh-CN" altLang="en-US" sz="1100" b="1" i="0" strike="noStrike">
              <a:solidFill>
                <a:srgbClr val="FF0000"/>
              </a:solidFill>
              <a:latin typeface="ＭＳ Ｐゴシック"/>
              <a:ea typeface="ＭＳ Ｐゴシック"/>
            </a:rPr>
            <a:t>名</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19</xdr:col>
      <xdr:colOff>140335</xdr:colOff>
      <xdr:row>2</xdr:row>
      <xdr:rowOff>266700</xdr:rowOff>
    </xdr:from>
    <xdr:to>
      <xdr:col>27</xdr:col>
      <xdr:colOff>181810</xdr:colOff>
      <xdr:row>4</xdr:row>
      <xdr:rowOff>38100</xdr:rowOff>
    </xdr:to>
    <xdr:sp macro="" textlink="">
      <xdr:nvSpPr>
        <xdr:cNvPr id="6" name="AutoShape 6">
          <a:extLst>
            <a:ext uri="{FF2B5EF4-FFF2-40B4-BE49-F238E27FC236}">
              <a16:creationId xmlns:a16="http://schemas.microsoft.com/office/drawing/2014/main" id="{ED38A680-3314-5148-7C1A-04D369BB40C1}"/>
            </a:ext>
          </a:extLst>
        </xdr:cNvPr>
        <xdr:cNvSpPr>
          <a:spLocks noChangeArrowheads="1"/>
        </xdr:cNvSpPr>
      </xdr:nvSpPr>
      <xdr:spPr bwMode="auto">
        <a:xfrm>
          <a:off x="6924675" y="2066925"/>
          <a:ext cx="1590675" cy="561975"/>
        </a:xfrm>
        <a:prstGeom prst="wedgeRoundRectCallout">
          <a:avLst>
            <a:gd name="adj1" fmla="val -30241"/>
            <a:gd name="adj2" fmla="val -173727"/>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100"/>
            </a:lnSpc>
            <a:defRPr sz="1000"/>
          </a:pPr>
          <a:r>
            <a:rPr lang="zh-CN" altLang="en-US" sz="1100" b="1" i="0" strike="noStrike">
              <a:solidFill>
                <a:srgbClr val="FF0000"/>
              </a:solidFill>
              <a:latin typeface="ＭＳ Ｐゴシック"/>
              <a:ea typeface="ＭＳ Ｐゴシック"/>
            </a:rPr>
            <a:t>修正</a:t>
          </a:r>
          <a:r>
            <a:rPr lang="ja-JP" altLang="en-US" sz="1100" b="1" i="0" strike="noStrike">
              <a:solidFill>
                <a:srgbClr val="FF0000"/>
              </a:solidFill>
              <a:latin typeface="ＭＳ Ｐゴシック"/>
              <a:ea typeface="ＭＳ Ｐゴシック"/>
            </a:rPr>
            <a:t>対象ソース</a:t>
          </a:r>
          <a:r>
            <a:rPr lang="zh-CN" altLang="en-US" sz="1100" b="1" i="0" strike="noStrike">
              <a:solidFill>
                <a:srgbClr val="FF0000"/>
              </a:solidFill>
              <a:latin typeface="ＭＳ Ｐゴシック"/>
              <a:ea typeface="ＭＳ Ｐゴシック"/>
            </a:rPr>
            <a:t>名、仕様書名</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30</xdr:col>
      <xdr:colOff>85725</xdr:colOff>
      <xdr:row>1</xdr:row>
      <xdr:rowOff>838200</xdr:rowOff>
    </xdr:from>
    <xdr:to>
      <xdr:col>32</xdr:col>
      <xdr:colOff>959208</xdr:colOff>
      <xdr:row>1</xdr:row>
      <xdr:rowOff>1373789</xdr:rowOff>
    </xdr:to>
    <xdr:sp macro="" textlink="">
      <xdr:nvSpPr>
        <xdr:cNvPr id="7" name="AutoShape 7">
          <a:extLst>
            <a:ext uri="{FF2B5EF4-FFF2-40B4-BE49-F238E27FC236}">
              <a16:creationId xmlns:a16="http://schemas.microsoft.com/office/drawing/2014/main" id="{B23ACBDE-F135-0C9C-91D5-4C4C0B5F08D2}"/>
            </a:ext>
          </a:extLst>
        </xdr:cNvPr>
        <xdr:cNvSpPr>
          <a:spLocks noChangeArrowheads="1"/>
        </xdr:cNvSpPr>
      </xdr:nvSpPr>
      <xdr:spPr bwMode="auto">
        <a:xfrm>
          <a:off x="9010650" y="1047750"/>
          <a:ext cx="1714500" cy="561975"/>
        </a:xfrm>
        <a:prstGeom prst="wedgeRoundRectCallout">
          <a:avLst>
            <a:gd name="adj1" fmla="val -93333"/>
            <a:gd name="adj2" fmla="val -34745"/>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defRPr sz="1000"/>
          </a:pPr>
          <a:r>
            <a:rPr lang="ja-JP" altLang="en-US" sz="1100" b="1" i="0" strike="noStrike">
              <a:solidFill>
                <a:srgbClr val="FF0000"/>
              </a:solidFill>
              <a:latin typeface="ＭＳ Ｐゴシック"/>
              <a:ea typeface="ＭＳ Ｐゴシック"/>
            </a:rPr>
            <a:t>作成日</a:t>
          </a:r>
          <a:r>
            <a:rPr lang="zh-CN" altLang="en-US" sz="1100" b="1" i="0" strike="noStrike">
              <a:solidFill>
                <a:srgbClr val="FF0000"/>
              </a:solidFill>
              <a:latin typeface="ＭＳ Ｐゴシック"/>
              <a:ea typeface="ＭＳ Ｐゴシック"/>
            </a:rPr>
            <a:t>、担当者名</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18</xdr:col>
      <xdr:colOff>44450</xdr:colOff>
      <xdr:row>22</xdr:row>
      <xdr:rowOff>130175</xdr:rowOff>
    </xdr:from>
    <xdr:to>
      <xdr:col>26</xdr:col>
      <xdr:colOff>141554</xdr:colOff>
      <xdr:row>26</xdr:row>
      <xdr:rowOff>38169</xdr:rowOff>
    </xdr:to>
    <xdr:sp macro="" textlink="">
      <xdr:nvSpPr>
        <xdr:cNvPr id="8" name="AutoShape 9">
          <a:extLst>
            <a:ext uri="{FF2B5EF4-FFF2-40B4-BE49-F238E27FC236}">
              <a16:creationId xmlns:a16="http://schemas.microsoft.com/office/drawing/2014/main" id="{CA6815BC-9EB2-F9A6-220A-86B655EE8B1C}"/>
            </a:ext>
          </a:extLst>
        </xdr:cNvPr>
        <xdr:cNvSpPr>
          <a:spLocks noChangeArrowheads="1"/>
        </xdr:cNvSpPr>
      </xdr:nvSpPr>
      <xdr:spPr bwMode="auto">
        <a:xfrm>
          <a:off x="6667500" y="8401050"/>
          <a:ext cx="1590675" cy="561975"/>
        </a:xfrm>
        <a:prstGeom prst="wedgeRoundRectCallout">
          <a:avLst>
            <a:gd name="adj1" fmla="val -48204"/>
            <a:gd name="adj2" fmla="val -141523"/>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100"/>
            </a:lnSpc>
            <a:defRPr sz="1000"/>
          </a:pPr>
          <a:r>
            <a:rPr lang="zh-CN" altLang="en-US" sz="1100" b="1" i="0" strike="noStrike">
              <a:solidFill>
                <a:srgbClr val="FF0000"/>
              </a:solidFill>
              <a:latin typeface="ＭＳ Ｐゴシック"/>
              <a:ea typeface="ＭＳ Ｐゴシック"/>
            </a:rPr>
            <a:t>単体</a:t>
          </a:r>
          <a:r>
            <a:rPr lang="ja-JP" altLang="en-US" sz="1100" b="1" i="0" strike="noStrike">
              <a:solidFill>
                <a:srgbClr val="FF0000"/>
              </a:solidFill>
              <a:latin typeface="ＭＳ Ｐゴシック"/>
              <a:ea typeface="ＭＳ Ｐゴシック"/>
            </a:rPr>
            <a:t>テストで</a:t>
          </a:r>
          <a:r>
            <a:rPr lang="zh-CN" altLang="en-US" sz="1100" b="1" i="0" strike="noStrike">
              <a:solidFill>
                <a:srgbClr val="FF0000"/>
              </a:solidFill>
              <a:latin typeface="ＭＳ Ｐゴシック"/>
              <a:ea typeface="ＭＳ Ｐゴシック"/>
            </a:rPr>
            <a:t>正常</a:t>
          </a:r>
          <a:r>
            <a:rPr lang="ja-JP" altLang="en-US" sz="1100" b="1" i="0" strike="noStrike">
              <a:solidFill>
                <a:srgbClr val="FF0000"/>
              </a:solidFill>
              <a:latin typeface="ＭＳ Ｐゴシック"/>
              <a:ea typeface="ＭＳ Ｐゴシック"/>
            </a:rPr>
            <a:t>か、</a:t>
          </a:r>
          <a:r>
            <a:rPr lang="zh-CN" altLang="en-US" sz="1100" b="1" i="0" strike="noStrike">
              <a:solidFill>
                <a:srgbClr val="FF0000"/>
              </a:solidFill>
              <a:latin typeface="ＭＳ Ｐゴシック"/>
              <a:ea typeface="ＭＳ Ｐゴシック"/>
            </a:rPr>
            <a:t>異常</a:t>
          </a:r>
          <a:r>
            <a:rPr lang="ja-JP" altLang="en-US" sz="1100" b="1" i="0" strike="noStrike">
              <a:solidFill>
                <a:srgbClr val="FF0000"/>
              </a:solidFill>
              <a:latin typeface="ＭＳ Ｐゴシック"/>
              <a:ea typeface="ＭＳ Ｐゴシック"/>
            </a:rPr>
            <a:t>かなどを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7</xdr:col>
      <xdr:colOff>1403350</xdr:colOff>
      <xdr:row>26</xdr:row>
      <xdr:rowOff>161925</xdr:rowOff>
    </xdr:from>
    <xdr:to>
      <xdr:col>12</xdr:col>
      <xdr:colOff>62622</xdr:colOff>
      <xdr:row>30</xdr:row>
      <xdr:rowOff>38100</xdr:rowOff>
    </xdr:to>
    <xdr:sp macro="" textlink="">
      <xdr:nvSpPr>
        <xdr:cNvPr id="9" name="AutoShape 10">
          <a:extLst>
            <a:ext uri="{FF2B5EF4-FFF2-40B4-BE49-F238E27FC236}">
              <a16:creationId xmlns:a16="http://schemas.microsoft.com/office/drawing/2014/main" id="{DA1071F3-6009-8686-5E89-3560CD4BBA23}"/>
            </a:ext>
          </a:extLst>
        </xdr:cNvPr>
        <xdr:cNvSpPr>
          <a:spLocks noChangeArrowheads="1"/>
        </xdr:cNvSpPr>
      </xdr:nvSpPr>
      <xdr:spPr bwMode="auto">
        <a:xfrm>
          <a:off x="3933825" y="9086850"/>
          <a:ext cx="1590675" cy="561975"/>
        </a:xfrm>
        <a:prstGeom prst="wedgeRoundRectCallout">
          <a:avLst>
            <a:gd name="adj1" fmla="val -213472"/>
            <a:gd name="adj2" fmla="val 253389"/>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lnSpc>
              <a:spcPts val="1300"/>
            </a:lnSpc>
            <a:defRPr sz="1000"/>
          </a:pPr>
          <a:r>
            <a:rPr lang="ja-JP" altLang="en-US" sz="1100" b="1" i="0" strike="noStrike">
              <a:solidFill>
                <a:srgbClr val="FF0000"/>
              </a:solidFill>
              <a:latin typeface="ＭＳ Ｐゴシック"/>
              <a:ea typeface="ＭＳ Ｐゴシック"/>
            </a:rPr>
            <a:t>シート</a:t>
          </a:r>
          <a:r>
            <a:rPr lang="zh-CN" altLang="en-US" sz="1100" b="1" i="0" strike="noStrike">
              <a:solidFill>
                <a:srgbClr val="FF0000"/>
              </a:solidFill>
              <a:latin typeface="ＭＳ Ｐゴシック"/>
              <a:ea typeface="ＭＳ Ｐゴシック"/>
            </a:rPr>
            <a:t>名</a:t>
          </a:r>
          <a:r>
            <a:rPr lang="ja-JP" altLang="en-US" sz="1100" b="1" i="0" strike="noStrike">
              <a:solidFill>
                <a:srgbClr val="FF0000"/>
              </a:solidFill>
              <a:latin typeface="ＭＳ Ｐゴシック"/>
              <a:ea typeface="ＭＳ Ｐゴシック"/>
            </a:rPr>
            <a:t>は</a:t>
          </a:r>
          <a:r>
            <a:rPr lang="zh-CN" altLang="en-US" sz="1100" b="1" i="0" strike="noStrike">
              <a:solidFill>
                <a:srgbClr val="FF0000"/>
              </a:solidFill>
              <a:latin typeface="ＭＳ Ｐゴシック"/>
              <a:ea typeface="ＭＳ Ｐゴシック"/>
            </a:rPr>
            <a:t>案件番号</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書</a:t>
          </a:r>
          <a:r>
            <a:rPr lang="ja-JP" altLang="en-US" sz="1100" b="1" i="0" strike="noStrike">
              <a:solidFill>
                <a:srgbClr val="FF0000"/>
              </a:solidFill>
              <a:latin typeface="ＭＳ Ｐゴシック"/>
              <a:ea typeface="ＭＳ Ｐゴシック"/>
            </a:rPr>
            <a:t>く</a:t>
          </a:r>
        </a:p>
      </xdr:txBody>
    </xdr:sp>
    <xdr:clientData/>
  </xdr:twoCellAnchor>
  <xdr:twoCellAnchor editAs="oneCell">
    <xdr:from>
      <xdr:col>13</xdr:col>
      <xdr:colOff>87630</xdr:colOff>
      <xdr:row>17</xdr:row>
      <xdr:rowOff>152400</xdr:rowOff>
    </xdr:from>
    <xdr:to>
      <xdr:col>22</xdr:col>
      <xdr:colOff>64535</xdr:colOff>
      <xdr:row>17</xdr:row>
      <xdr:rowOff>714375</xdr:rowOff>
    </xdr:to>
    <xdr:sp macro="" textlink="">
      <xdr:nvSpPr>
        <xdr:cNvPr id="10" name="AutoShape 12">
          <a:extLst>
            <a:ext uri="{FF2B5EF4-FFF2-40B4-BE49-F238E27FC236}">
              <a16:creationId xmlns:a16="http://schemas.microsoft.com/office/drawing/2014/main" id="{1355E672-7C0D-5C31-AA07-D82F16B46289}"/>
            </a:ext>
          </a:extLst>
        </xdr:cNvPr>
        <xdr:cNvSpPr>
          <a:spLocks noChangeArrowheads="1"/>
        </xdr:cNvSpPr>
      </xdr:nvSpPr>
      <xdr:spPr bwMode="auto">
        <a:xfrm>
          <a:off x="5743575" y="6572250"/>
          <a:ext cx="1695450" cy="561975"/>
        </a:xfrm>
        <a:prstGeom prst="wedgeRoundRectCallout">
          <a:avLst>
            <a:gd name="adj1" fmla="val -94944"/>
            <a:gd name="adj2" fmla="val -34745"/>
            <a:gd name="adj3" fmla="val 16667"/>
          </a:avLst>
        </a:prstGeom>
        <a:solidFill>
          <a:srgbClr val="FFFFFF"/>
        </a:solidFill>
        <a:ln w="9525">
          <a:solidFill>
            <a:srgbClr val="000000"/>
          </a:solidFill>
          <a:miter lim="800000"/>
          <a:headEnd/>
          <a:tailEnd/>
        </a:ln>
      </xdr:spPr>
      <xdr:txBody>
        <a:bodyPr vertOverflow="clip" wrap="square" lIns="36576" tIns="18288" rIns="0" bIns="0" anchor="t" upright="1"/>
        <a:lstStyle/>
        <a:p>
          <a:pPr algn="l" rtl="1">
            <a:defRPr sz="1000"/>
          </a:pPr>
          <a:r>
            <a:rPr lang="zh-CN" altLang="en-US" sz="1100" b="1" i="0" strike="noStrike">
              <a:solidFill>
                <a:srgbClr val="FF0000"/>
              </a:solidFill>
              <a:latin typeface="ＭＳ Ｐゴシック"/>
              <a:ea typeface="ＭＳ Ｐゴシック"/>
            </a:rPr>
            <a:t>確認日</a:t>
          </a:r>
          <a:r>
            <a:rPr lang="ja-JP" altLang="en-US" sz="1100" b="1" i="0" strike="noStrike">
              <a:solidFill>
                <a:srgbClr val="FF0000"/>
              </a:solidFill>
              <a:latin typeface="ＭＳ Ｐゴシック"/>
              <a:ea typeface="ＭＳ Ｐゴシック"/>
            </a:rPr>
            <a:t>を</a:t>
          </a:r>
          <a:r>
            <a:rPr lang="zh-CN" altLang="en-US" sz="1100" b="1" i="0" strike="noStrike">
              <a:solidFill>
                <a:srgbClr val="FF0000"/>
              </a:solidFill>
              <a:latin typeface="ＭＳ Ｐゴシック"/>
              <a:ea typeface="ＭＳ Ｐゴシック"/>
            </a:rPr>
            <a:t>付</a:t>
          </a:r>
          <a:r>
            <a:rPr lang="ja-JP" altLang="en-US" sz="1100" b="1" i="0" strike="noStrike">
              <a:solidFill>
                <a:srgbClr val="FF0000"/>
              </a:solidFill>
              <a:latin typeface="ＭＳ Ｐゴシック"/>
              <a:ea typeface="ＭＳ Ｐゴシック"/>
            </a:rPr>
            <a:t>ける</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431800</xdr:colOff>
      <xdr:row>58</xdr:row>
      <xdr:rowOff>114300</xdr:rowOff>
    </xdr:to>
    <xdr:pic>
      <xdr:nvPicPr>
        <xdr:cNvPr id="15451" name="図 1">
          <a:extLst>
            <a:ext uri="{FF2B5EF4-FFF2-40B4-BE49-F238E27FC236}">
              <a16:creationId xmlns:a16="http://schemas.microsoft.com/office/drawing/2014/main" id="{DC05167A-722A-9128-ED99-05374199B2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874500" cy="1042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561249</xdr:colOff>
      <xdr:row>8</xdr:row>
      <xdr:rowOff>148770</xdr:rowOff>
    </xdr:from>
    <xdr:to>
      <xdr:col>19</xdr:col>
      <xdr:colOff>450729</xdr:colOff>
      <xdr:row>13</xdr:row>
      <xdr:rowOff>148771</xdr:rowOff>
    </xdr:to>
    <xdr:sp macro="" textlink="">
      <xdr:nvSpPr>
        <xdr:cNvPr id="3" name="四角形吹き出し 2">
          <a:extLst>
            <a:ext uri="{FF2B5EF4-FFF2-40B4-BE49-F238E27FC236}">
              <a16:creationId xmlns:a16="http://schemas.microsoft.com/office/drawing/2014/main" id="{54185800-1D86-BF0E-A74E-B0BC0E1A9795}"/>
            </a:ext>
          </a:extLst>
        </xdr:cNvPr>
        <xdr:cNvSpPr/>
      </xdr:nvSpPr>
      <xdr:spPr>
        <a:xfrm>
          <a:off x="10804071" y="1551213"/>
          <a:ext cx="2558143" cy="884465"/>
        </a:xfrm>
        <a:prstGeom prst="wedgeRectCallout">
          <a:avLst>
            <a:gd name="adj1" fmla="val -73493"/>
            <a:gd name="adj2" fmla="val 8188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ysClr val="windowText" lastClr="000000"/>
              </a:solidFill>
            </a:rPr>
            <a:t>全セルを選択し、条件付き書式で新規ルールを選択。</a:t>
          </a:r>
        </a:p>
      </xdr:txBody>
    </xdr:sp>
    <xdr:clientData/>
  </xdr:twoCellAnchor>
  <xdr:twoCellAnchor editAs="oneCell">
    <xdr:from>
      <xdr:col>0</xdr:col>
      <xdr:colOff>0</xdr:colOff>
      <xdr:row>60</xdr:row>
      <xdr:rowOff>0</xdr:rowOff>
    </xdr:from>
    <xdr:to>
      <xdr:col>5</xdr:col>
      <xdr:colOff>406400</xdr:colOff>
      <xdr:row>78</xdr:row>
      <xdr:rowOff>139700</xdr:rowOff>
    </xdr:to>
    <xdr:pic>
      <xdr:nvPicPr>
        <xdr:cNvPr id="15453" name="図 3">
          <a:extLst>
            <a:ext uri="{FF2B5EF4-FFF2-40B4-BE49-F238E27FC236}">
              <a16:creationId xmlns:a16="http://schemas.microsoft.com/office/drawing/2014/main" id="{4FC7AE93-2A03-2D49-B63E-AFC12CDF1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0668000"/>
          <a:ext cx="3771900" cy="334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353786</xdr:colOff>
      <xdr:row>65</xdr:row>
      <xdr:rowOff>67129</xdr:rowOff>
    </xdr:from>
    <xdr:to>
      <xdr:col>9</xdr:col>
      <xdr:colOff>190944</xdr:colOff>
      <xdr:row>70</xdr:row>
      <xdr:rowOff>54504</xdr:rowOff>
    </xdr:to>
    <xdr:sp macro="" textlink="">
      <xdr:nvSpPr>
        <xdr:cNvPr id="5" name="四角形吹き出し 4">
          <a:extLst>
            <a:ext uri="{FF2B5EF4-FFF2-40B4-BE49-F238E27FC236}">
              <a16:creationId xmlns:a16="http://schemas.microsoft.com/office/drawing/2014/main" id="{D10557F4-40ED-089C-0F84-E38317314892}"/>
            </a:ext>
          </a:extLst>
        </xdr:cNvPr>
        <xdr:cNvSpPr/>
      </xdr:nvSpPr>
      <xdr:spPr>
        <a:xfrm>
          <a:off x="3755572" y="11552465"/>
          <a:ext cx="2558143" cy="884465"/>
        </a:xfrm>
        <a:prstGeom prst="wedgeRectCallout">
          <a:avLst>
            <a:gd name="adj1" fmla="val -73493"/>
            <a:gd name="adj2" fmla="val 8188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ja-JP" altLang="en-US" sz="1100">
              <a:solidFill>
                <a:sysClr val="windowText" lastClr="000000"/>
              </a:solidFill>
              <a:latin typeface="+mj-ea"/>
              <a:ea typeface="+mj-ea"/>
            </a:rPr>
            <a:t>「</a:t>
          </a:r>
          <a:r>
            <a:rPr kumimoji="1" lang="en-US" altLang="ja-JP" sz="1100">
              <a:solidFill>
                <a:sysClr val="windowText" lastClr="000000"/>
              </a:solidFill>
              <a:latin typeface="+mj-ea"/>
              <a:ea typeface="+mj-ea"/>
            </a:rPr>
            <a:t>=CELL("protect",A1)=0</a:t>
          </a:r>
          <a:r>
            <a:rPr kumimoji="1" lang="ja-JP" altLang="en-US" sz="1100">
              <a:solidFill>
                <a:sysClr val="windowText" lastClr="000000"/>
              </a:solidFill>
              <a:latin typeface="+mj-ea"/>
              <a:ea typeface="+mj-ea"/>
            </a:rPr>
            <a:t>」を入力し、書式で、塗りつぶしで任意の色を選択する。</a:t>
          </a:r>
        </a:p>
      </xdr:txBody>
    </xdr:sp>
    <xdr:clientData/>
  </xdr:twoCellAnchor>
  <xdr:twoCellAnchor editAs="oneCell">
    <xdr:from>
      <xdr:col>0</xdr:col>
      <xdr:colOff>0</xdr:colOff>
      <xdr:row>81</xdr:row>
      <xdr:rowOff>0</xdr:rowOff>
    </xdr:from>
    <xdr:to>
      <xdr:col>17</xdr:col>
      <xdr:colOff>622300</xdr:colOff>
      <xdr:row>134</xdr:row>
      <xdr:rowOff>76200</xdr:rowOff>
    </xdr:to>
    <xdr:pic>
      <xdr:nvPicPr>
        <xdr:cNvPr id="15455" name="図 5">
          <a:extLst>
            <a:ext uri="{FF2B5EF4-FFF2-40B4-BE49-F238E27FC236}">
              <a16:creationId xmlns:a16="http://schemas.microsoft.com/office/drawing/2014/main" id="{385329DE-EDBC-D2C7-CFFE-1D73D45524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4401800"/>
          <a:ext cx="12065000" cy="949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340179</xdr:colOff>
      <xdr:row>85</xdr:row>
      <xdr:rowOff>40821</xdr:rowOff>
    </xdr:from>
    <xdr:to>
      <xdr:col>21</xdr:col>
      <xdr:colOff>165329</xdr:colOff>
      <xdr:row>90</xdr:row>
      <xdr:rowOff>40822</xdr:rowOff>
    </xdr:to>
    <xdr:sp macro="" textlink="">
      <xdr:nvSpPr>
        <xdr:cNvPr id="7" name="四角形吹き出し 6">
          <a:extLst>
            <a:ext uri="{FF2B5EF4-FFF2-40B4-BE49-F238E27FC236}">
              <a16:creationId xmlns:a16="http://schemas.microsoft.com/office/drawing/2014/main" id="{5EEFBDB1-4F17-99A2-2187-1586155EA748}"/>
            </a:ext>
          </a:extLst>
        </xdr:cNvPr>
        <xdr:cNvSpPr/>
      </xdr:nvSpPr>
      <xdr:spPr>
        <a:xfrm>
          <a:off x="11906250" y="15076714"/>
          <a:ext cx="2558143" cy="884465"/>
        </a:xfrm>
        <a:prstGeom prst="wedgeRectCallout">
          <a:avLst>
            <a:gd name="adj1" fmla="val -73493"/>
            <a:gd name="adj2" fmla="val 81880"/>
          </a:avLst>
        </a:prstGeom>
        <a:solidFill>
          <a:sysClr val="window" lastClr="FFFFFF"/>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300"/>
            </a:lnSpc>
          </a:pPr>
          <a:r>
            <a:rPr kumimoji="1" lang="en-US" altLang="ja-JP" sz="1100">
              <a:solidFill>
                <a:sysClr val="windowText" lastClr="000000"/>
              </a:solidFill>
              <a:latin typeface="+mj-ea"/>
              <a:ea typeface="+mj-ea"/>
            </a:rPr>
            <a:t>OK</a:t>
          </a:r>
          <a:r>
            <a:rPr kumimoji="1" lang="ja-JP" altLang="en-US" sz="1100">
              <a:solidFill>
                <a:sysClr val="windowText" lastClr="000000"/>
              </a:solidFill>
              <a:latin typeface="+mj-ea"/>
              <a:ea typeface="+mj-ea"/>
            </a:rPr>
            <a:t>を押下することにより、セルの保護を解除している箇所が、色付けされる。</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xdr:row>
      <xdr:rowOff>38100</xdr:rowOff>
    </xdr:from>
    <xdr:to>
      <xdr:col>8</xdr:col>
      <xdr:colOff>800100</xdr:colOff>
      <xdr:row>48</xdr:row>
      <xdr:rowOff>165100</xdr:rowOff>
    </xdr:to>
    <xdr:pic>
      <xdr:nvPicPr>
        <xdr:cNvPr id="16625" name="Picture 1">
          <a:extLst>
            <a:ext uri="{FF2B5EF4-FFF2-40B4-BE49-F238E27FC236}">
              <a16:creationId xmlns:a16="http://schemas.microsoft.com/office/drawing/2014/main" id="{5637224A-5462-E21F-398B-25F47745E9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43100"/>
          <a:ext cx="10960100" cy="706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2</xdr:col>
      <xdr:colOff>381000</xdr:colOff>
      <xdr:row>29</xdr:row>
      <xdr:rowOff>155575</xdr:rowOff>
    </xdr:from>
    <xdr:to>
      <xdr:col>3</xdr:col>
      <xdr:colOff>428625</xdr:colOff>
      <xdr:row>34</xdr:row>
      <xdr:rowOff>28726</xdr:rowOff>
    </xdr:to>
    <xdr:sp macro="" textlink="">
      <xdr:nvSpPr>
        <xdr:cNvPr id="3" name="角丸四角形吹き出し 2">
          <a:extLst>
            <a:ext uri="{FF2B5EF4-FFF2-40B4-BE49-F238E27FC236}">
              <a16:creationId xmlns:a16="http://schemas.microsoft.com/office/drawing/2014/main" id="{2DE8EF32-452E-96F6-E56A-CE2AE0BBF465}"/>
            </a:ext>
          </a:extLst>
        </xdr:cNvPr>
        <xdr:cNvSpPr/>
      </xdr:nvSpPr>
      <xdr:spPr>
        <a:xfrm>
          <a:off x="2733675" y="5467350"/>
          <a:ext cx="1171575" cy="752475"/>
        </a:xfrm>
        <a:prstGeom prst="wedgeRoundRectCallout">
          <a:avLst>
            <a:gd name="adj1" fmla="val 121885"/>
            <a:gd name="adj2" fmla="val 62500"/>
            <a:gd name="adj3" fmla="val 16667"/>
          </a:avLst>
        </a:prstGeom>
        <a:solidFill>
          <a:srgbClr val="FFFF00"/>
        </a:solidFill>
        <a:ln>
          <a:solidFill>
            <a:srgbClr val="FF0000"/>
          </a:solidFill>
        </a:ln>
      </xdr:spPr>
      <xdr:style>
        <a:lnRef idx="2">
          <a:schemeClr val="dk1"/>
        </a:lnRef>
        <a:fillRef idx="1">
          <a:schemeClr val="lt1"/>
        </a:fillRef>
        <a:effectRef idx="0">
          <a:schemeClr val="dk1"/>
        </a:effectRef>
        <a:fontRef idx="minor">
          <a:schemeClr val="dk1"/>
        </a:fontRef>
      </xdr:style>
      <xdr:txBody>
        <a:bodyPr rtlCol="0" anchor="ctr"/>
        <a:lstStyle/>
        <a:p>
          <a:pPr algn="ctr" rtl="1">
            <a:lnSpc>
              <a:spcPts val="1300"/>
            </a:lnSpc>
            <a:defRPr sz="1000"/>
          </a:pPr>
          <a:r>
            <a:rPr lang="ja-JP" altLang="en-US" sz="1100" b="0" i="0" strike="noStrike">
              <a:solidFill>
                <a:srgbClr val="000000"/>
              </a:solidFill>
              <a:latin typeface="ＭＳ Ｐゴシック"/>
              <a:ea typeface="ＭＳ Ｐゴシック"/>
            </a:rPr>
            <a:t>ログインボタン押下</a:t>
          </a:r>
        </a:p>
      </xdr:txBody>
    </xdr:sp>
    <xdr:clientData/>
  </xdr:twoCellAnchor>
  <xdr:twoCellAnchor>
    <xdr:from>
      <xdr:col>4</xdr:col>
      <xdr:colOff>613243</xdr:colOff>
      <xdr:row>29</xdr:row>
      <xdr:rowOff>25661</xdr:rowOff>
    </xdr:from>
    <xdr:to>
      <xdr:col>5</xdr:col>
      <xdr:colOff>813464</xdr:colOff>
      <xdr:row>30</xdr:row>
      <xdr:rowOff>98614</xdr:rowOff>
    </xdr:to>
    <xdr:sp macro="" textlink="">
      <xdr:nvSpPr>
        <xdr:cNvPr id="4" name="正方形/長方形 3">
          <a:extLst>
            <a:ext uri="{FF2B5EF4-FFF2-40B4-BE49-F238E27FC236}">
              <a16:creationId xmlns:a16="http://schemas.microsoft.com/office/drawing/2014/main" id="{C6EF614F-896B-FE36-21D9-6D5E757454AA}"/>
            </a:ext>
          </a:extLst>
        </xdr:cNvPr>
        <xdr:cNvSpPr/>
      </xdr:nvSpPr>
      <xdr:spPr>
        <a:xfrm>
          <a:off x="5232868" y="5355851"/>
          <a:ext cx="1314450" cy="247650"/>
        </a:xfrm>
        <a:prstGeom prst="rect">
          <a:avLst/>
        </a:prstGeom>
        <a:solidFill>
          <a:schemeClr val="lt1">
            <a:alpha val="0"/>
          </a:schemeClr>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rtlCol="0" anchor="ctr"/>
        <a:lstStyle/>
        <a:p>
          <a:endParaRPr lang="ja-JP" altLang="en-US"/>
        </a:p>
      </xdr:txBody>
    </xdr:sp>
    <xdr:clientData/>
  </xdr:twoCellAnchor>
  <xdr:twoCellAnchor>
    <xdr:from>
      <xdr:col>7</xdr:col>
      <xdr:colOff>11206</xdr:colOff>
      <xdr:row>4</xdr:row>
      <xdr:rowOff>78442</xdr:rowOff>
    </xdr:from>
    <xdr:to>
      <xdr:col>7</xdr:col>
      <xdr:colOff>1093777</xdr:colOff>
      <xdr:row>4</xdr:row>
      <xdr:rowOff>79843</xdr:rowOff>
    </xdr:to>
    <xdr:cxnSp macro="">
      <xdr:nvCxnSpPr>
        <xdr:cNvPr id="5" name="直線矢印コネクタ 4">
          <a:extLst>
            <a:ext uri="{FF2B5EF4-FFF2-40B4-BE49-F238E27FC236}">
              <a16:creationId xmlns:a16="http://schemas.microsoft.com/office/drawing/2014/main" id="{5BD79A84-ECE9-3D7C-7A01-A81FE0340127}"/>
            </a:ext>
          </a:extLst>
        </xdr:cNvPr>
        <xdr:cNvCxnSpPr/>
      </xdr:nvCxnSpPr>
      <xdr:spPr>
        <a:xfrm flipV="1">
          <a:off x="9079006" y="764242"/>
          <a:ext cx="1075765" cy="11206"/>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11206</xdr:colOff>
      <xdr:row>2</xdr:row>
      <xdr:rowOff>78441</xdr:rowOff>
    </xdr:from>
    <xdr:to>
      <xdr:col>7</xdr:col>
      <xdr:colOff>1093777</xdr:colOff>
      <xdr:row>2</xdr:row>
      <xdr:rowOff>134471</xdr:rowOff>
    </xdr:to>
    <xdr:cxnSp macro="">
      <xdr:nvCxnSpPr>
        <xdr:cNvPr id="6" name="直線矢印コネクタ 5">
          <a:extLst>
            <a:ext uri="{FF2B5EF4-FFF2-40B4-BE49-F238E27FC236}">
              <a16:creationId xmlns:a16="http://schemas.microsoft.com/office/drawing/2014/main" id="{597643FD-6072-BEDD-65AB-C54B6DD22C93}"/>
            </a:ext>
          </a:extLst>
        </xdr:cNvPr>
        <xdr:cNvCxnSpPr/>
      </xdr:nvCxnSpPr>
      <xdr:spPr>
        <a:xfrm>
          <a:off x="9079006" y="421341"/>
          <a:ext cx="1075765" cy="56030"/>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xdr:row>
      <xdr:rowOff>134471</xdr:rowOff>
    </xdr:from>
    <xdr:to>
      <xdr:col>7</xdr:col>
      <xdr:colOff>1092382</xdr:colOff>
      <xdr:row>3</xdr:row>
      <xdr:rowOff>86463</xdr:rowOff>
    </xdr:to>
    <xdr:cxnSp macro="">
      <xdr:nvCxnSpPr>
        <xdr:cNvPr id="7" name="直線矢印コネクタ 6">
          <a:extLst>
            <a:ext uri="{FF2B5EF4-FFF2-40B4-BE49-F238E27FC236}">
              <a16:creationId xmlns:a16="http://schemas.microsoft.com/office/drawing/2014/main" id="{02D80008-A561-E364-9AA2-CF9E52B93528}"/>
            </a:ext>
          </a:extLst>
        </xdr:cNvPr>
        <xdr:cNvCxnSpPr/>
      </xdr:nvCxnSpPr>
      <xdr:spPr>
        <a:xfrm flipV="1">
          <a:off x="9067800" y="477371"/>
          <a:ext cx="1086971" cy="137832"/>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62417</xdr:colOff>
      <xdr:row>0</xdr:row>
      <xdr:rowOff>78441</xdr:rowOff>
    </xdr:from>
    <xdr:to>
      <xdr:col>2</xdr:col>
      <xdr:colOff>23939</xdr:colOff>
      <xdr:row>0</xdr:row>
      <xdr:rowOff>158127</xdr:rowOff>
    </xdr:to>
    <xdr:cxnSp macro="">
      <xdr:nvCxnSpPr>
        <xdr:cNvPr id="8" name="直線矢印コネクタ 7">
          <a:extLst>
            <a:ext uri="{FF2B5EF4-FFF2-40B4-BE49-F238E27FC236}">
              <a16:creationId xmlns:a16="http://schemas.microsoft.com/office/drawing/2014/main" id="{0307223D-FC3D-7710-A4E0-4258D8FBD4D4}"/>
            </a:ext>
          </a:extLst>
        </xdr:cNvPr>
        <xdr:cNvCxnSpPr/>
      </xdr:nvCxnSpPr>
      <xdr:spPr>
        <a:xfrm>
          <a:off x="1146362" y="78441"/>
          <a:ext cx="1217519" cy="67235"/>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43591</xdr:colOff>
      <xdr:row>0</xdr:row>
      <xdr:rowOff>149486</xdr:rowOff>
    </xdr:from>
    <xdr:to>
      <xdr:col>2</xdr:col>
      <xdr:colOff>24035</xdr:colOff>
      <xdr:row>1</xdr:row>
      <xdr:rowOff>116664</xdr:rowOff>
    </xdr:to>
    <xdr:cxnSp macro="">
      <xdr:nvCxnSpPr>
        <xdr:cNvPr id="9" name="直線矢印コネクタ 8">
          <a:extLst>
            <a:ext uri="{FF2B5EF4-FFF2-40B4-BE49-F238E27FC236}">
              <a16:creationId xmlns:a16="http://schemas.microsoft.com/office/drawing/2014/main" id="{275AA631-8A2F-F696-EC9A-F0C87A43EE7C}"/>
            </a:ext>
          </a:extLst>
        </xdr:cNvPr>
        <xdr:cNvCxnSpPr/>
      </xdr:nvCxnSpPr>
      <xdr:spPr>
        <a:xfrm flipV="1">
          <a:off x="1135156" y="145676"/>
          <a:ext cx="1228725" cy="149039"/>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813268</xdr:colOff>
      <xdr:row>29</xdr:row>
      <xdr:rowOff>149710</xdr:rowOff>
    </xdr:from>
    <xdr:to>
      <xdr:col>9</xdr:col>
      <xdr:colOff>1059252</xdr:colOff>
      <xdr:row>31</xdr:row>
      <xdr:rowOff>78669</xdr:rowOff>
    </xdr:to>
    <xdr:cxnSp macro="">
      <xdr:nvCxnSpPr>
        <xdr:cNvPr id="10" name="直線矢印コネクタ 9">
          <a:extLst>
            <a:ext uri="{FF2B5EF4-FFF2-40B4-BE49-F238E27FC236}">
              <a16:creationId xmlns:a16="http://schemas.microsoft.com/office/drawing/2014/main" id="{8F90DFEA-B43D-C9D7-76F7-CBE8CF7C9D9F}"/>
            </a:ext>
          </a:extLst>
        </xdr:cNvPr>
        <xdr:cNvCxnSpPr>
          <a:stCxn id="4" idx="3"/>
        </xdr:cNvCxnSpPr>
      </xdr:nvCxnSpPr>
      <xdr:spPr>
        <a:xfrm>
          <a:off x="6547318" y="5477995"/>
          <a:ext cx="6294344" cy="277346"/>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336176</xdr:colOff>
      <xdr:row>8</xdr:row>
      <xdr:rowOff>0</xdr:rowOff>
    </xdr:from>
    <xdr:to>
      <xdr:col>0</xdr:col>
      <xdr:colOff>1095682</xdr:colOff>
      <xdr:row>8</xdr:row>
      <xdr:rowOff>90295</xdr:rowOff>
    </xdr:to>
    <xdr:cxnSp macro="">
      <xdr:nvCxnSpPr>
        <xdr:cNvPr id="11" name="カギ線コネクタ 10">
          <a:extLst>
            <a:ext uri="{FF2B5EF4-FFF2-40B4-BE49-F238E27FC236}">
              <a16:creationId xmlns:a16="http://schemas.microsoft.com/office/drawing/2014/main" id="{DDABB8C2-2A91-0C0F-BD3F-92AFAE322DD7}"/>
            </a:ext>
          </a:extLst>
        </xdr:cNvPr>
        <xdr:cNvCxnSpPr/>
      </xdr:nvCxnSpPr>
      <xdr:spPr>
        <a:xfrm>
          <a:off x="336176" y="1476375"/>
          <a:ext cx="773206" cy="100853"/>
        </a:xfrm>
        <a:prstGeom prst="bentConnector3">
          <a:avLst>
            <a:gd name="adj1" fmla="val 50000"/>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0</xdr:colOff>
      <xdr:row>9</xdr:row>
      <xdr:rowOff>0</xdr:rowOff>
    </xdr:from>
    <xdr:to>
      <xdr:col>12</xdr:col>
      <xdr:colOff>977900</xdr:colOff>
      <xdr:row>30</xdr:row>
      <xdr:rowOff>50800</xdr:rowOff>
    </xdr:to>
    <xdr:pic>
      <xdr:nvPicPr>
        <xdr:cNvPr id="16635" name="Picture 1">
          <a:extLst>
            <a:ext uri="{FF2B5EF4-FFF2-40B4-BE49-F238E27FC236}">
              <a16:creationId xmlns:a16="http://schemas.microsoft.com/office/drawing/2014/main" id="{5F447EBB-57C5-5F9B-0CD9-5F425DC599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52400" y="1905000"/>
          <a:ext cx="3213100" cy="378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9</xdr:col>
      <xdr:colOff>441329</xdr:colOff>
      <xdr:row>16</xdr:row>
      <xdr:rowOff>155575</xdr:rowOff>
    </xdr:from>
    <xdr:to>
      <xdr:col>10</xdr:col>
      <xdr:colOff>179825</xdr:colOff>
      <xdr:row>17</xdr:row>
      <xdr:rowOff>72155</xdr:rowOff>
    </xdr:to>
    <xdr:cxnSp macro="">
      <xdr:nvCxnSpPr>
        <xdr:cNvPr id="13" name="直線矢印コネクタ 12">
          <a:extLst>
            <a:ext uri="{FF2B5EF4-FFF2-40B4-BE49-F238E27FC236}">
              <a16:creationId xmlns:a16="http://schemas.microsoft.com/office/drawing/2014/main" id="{B9B4C21F-1B0E-A5DD-1719-ED472219195B}"/>
            </a:ext>
          </a:extLst>
        </xdr:cNvPr>
        <xdr:cNvCxnSpPr/>
      </xdr:nvCxnSpPr>
      <xdr:spPr>
        <a:xfrm rot="10800000" flipV="1">
          <a:off x="12201529" y="3248025"/>
          <a:ext cx="873915" cy="100014"/>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0</xdr:colOff>
      <xdr:row>34</xdr:row>
      <xdr:rowOff>0</xdr:rowOff>
    </xdr:from>
    <xdr:to>
      <xdr:col>10</xdr:col>
      <xdr:colOff>939800</xdr:colOff>
      <xdr:row>36</xdr:row>
      <xdr:rowOff>0</xdr:rowOff>
    </xdr:to>
    <xdr:pic>
      <xdr:nvPicPr>
        <xdr:cNvPr id="16637" name="Picture 2">
          <a:extLst>
            <a:ext uri="{FF2B5EF4-FFF2-40B4-BE49-F238E27FC236}">
              <a16:creationId xmlns:a16="http://schemas.microsoft.com/office/drawing/2014/main" id="{172DAD04-17DD-1E05-A221-3D9400795E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52400" y="6350000"/>
          <a:ext cx="9398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10</xdr:col>
      <xdr:colOff>330994</xdr:colOff>
      <xdr:row>35</xdr:row>
      <xdr:rowOff>23813</xdr:rowOff>
    </xdr:from>
    <xdr:to>
      <xdr:col>10</xdr:col>
      <xdr:colOff>762011</xdr:colOff>
      <xdr:row>38</xdr:row>
      <xdr:rowOff>71441</xdr:rowOff>
    </xdr:to>
    <xdr:cxnSp macro="">
      <xdr:nvCxnSpPr>
        <xdr:cNvPr id="15" name="直線矢印コネクタ 14">
          <a:extLst>
            <a:ext uri="{FF2B5EF4-FFF2-40B4-BE49-F238E27FC236}">
              <a16:creationId xmlns:a16="http://schemas.microsoft.com/office/drawing/2014/main" id="{9EB338BE-320C-01A4-6A5C-12E96669B896}"/>
            </a:ext>
          </a:extLst>
        </xdr:cNvPr>
        <xdr:cNvCxnSpPr/>
      </xdr:nvCxnSpPr>
      <xdr:spPr>
        <a:xfrm rot="5400000">
          <a:off x="13145690" y="6459142"/>
          <a:ext cx="561978" cy="416719"/>
        </a:xfrm>
        <a:prstGeom prst="straightConnector1">
          <a:avLst/>
        </a:prstGeom>
        <a:ln>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620713</xdr:colOff>
      <xdr:row>9</xdr:row>
      <xdr:rowOff>119062</xdr:rowOff>
    </xdr:from>
    <xdr:to>
      <xdr:col>6</xdr:col>
      <xdr:colOff>681067</xdr:colOff>
      <xdr:row>14</xdr:row>
      <xdr:rowOff>14287</xdr:rowOff>
    </xdr:to>
    <xdr:sp macro="" textlink="">
      <xdr:nvSpPr>
        <xdr:cNvPr id="16" name="角丸四角形吹き出し 15">
          <a:extLst>
            <a:ext uri="{FF2B5EF4-FFF2-40B4-BE49-F238E27FC236}">
              <a16:creationId xmlns:a16="http://schemas.microsoft.com/office/drawing/2014/main" id="{93D1CCD3-374A-9B9E-B094-E666C76D7157}"/>
            </a:ext>
          </a:extLst>
        </xdr:cNvPr>
        <xdr:cNvSpPr/>
      </xdr:nvSpPr>
      <xdr:spPr>
        <a:xfrm>
          <a:off x="6367463" y="2024062"/>
          <a:ext cx="1971676" cy="752475"/>
        </a:xfrm>
        <a:prstGeom prst="wedgeRoundRectCallout">
          <a:avLst>
            <a:gd name="adj1" fmla="val -56686"/>
            <a:gd name="adj2" fmla="val -131945"/>
            <a:gd name="adj3" fmla="val 16667"/>
          </a:avLst>
        </a:prstGeom>
        <a:solidFill>
          <a:srgbClr val="FFFF00"/>
        </a:solidFill>
        <a:ln>
          <a:solidFill>
            <a:srgbClr val="FF0000"/>
          </a:solidFill>
        </a:ln>
      </xdr:spPr>
      <xdr:style>
        <a:lnRef idx="2">
          <a:schemeClr val="dk1"/>
        </a:lnRef>
        <a:fillRef idx="1">
          <a:schemeClr val="lt1"/>
        </a:fillRef>
        <a:effectRef idx="0">
          <a:schemeClr val="dk1"/>
        </a:effectRef>
        <a:fontRef idx="minor">
          <a:schemeClr val="dk1"/>
        </a:fontRef>
      </xdr:style>
      <xdr:txBody>
        <a:bodyPr rtlCol="0" anchor="ctr"/>
        <a:lstStyle/>
        <a:p>
          <a:pPr algn="ctr"/>
          <a:r>
            <a:rPr kumimoji="1" lang="ja-JP" altLang="en-US" sz="1100"/>
            <a:t>日付型確認</a:t>
          </a:r>
        </a:p>
      </xdr:txBody>
    </xdr:sp>
    <xdr:clientData/>
  </xdr:twoCellAnchor>
  <xdr:twoCellAnchor>
    <xdr:from>
      <xdr:col>8</xdr:col>
      <xdr:colOff>1524187</xdr:colOff>
      <xdr:row>2</xdr:row>
      <xdr:rowOff>89647</xdr:rowOff>
    </xdr:from>
    <xdr:to>
      <xdr:col>12</xdr:col>
      <xdr:colOff>909612</xdr:colOff>
      <xdr:row>8</xdr:row>
      <xdr:rowOff>11205</xdr:rowOff>
    </xdr:to>
    <xdr:sp macro="" textlink="">
      <xdr:nvSpPr>
        <xdr:cNvPr id="2" name="テキスト ボックス 1">
          <a:extLst>
            <a:ext uri="{FF2B5EF4-FFF2-40B4-BE49-F238E27FC236}">
              <a16:creationId xmlns:a16="http://schemas.microsoft.com/office/drawing/2014/main" id="{B7F78AD3-45D7-4A71-B804-DF5EB6C2FEF9}"/>
            </a:ext>
          </a:extLst>
        </xdr:cNvPr>
        <xdr:cNvSpPr txBox="1"/>
      </xdr:nvSpPr>
      <xdr:spPr>
        <a:xfrm>
          <a:off x="11732559" y="425823"/>
          <a:ext cx="4303059" cy="1053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テーブルデータを張り付ける際</a:t>
          </a:r>
          <a:endParaRPr kumimoji="1" lang="en-US" altLang="ja-JP" sz="1100"/>
        </a:p>
        <a:p>
          <a:r>
            <a:rPr kumimoji="1" lang="ja-JP" altLang="en-US" sz="1100"/>
            <a:t>確認するべき項目はテーブルデータの前に持ってくるようにしてほしい</a:t>
          </a:r>
          <a:endParaRPr kumimoji="1" lang="en-US" altLang="ja-JP" sz="1100"/>
        </a:p>
        <a:p>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5</xdr:col>
      <xdr:colOff>889635</xdr:colOff>
      <xdr:row>39</xdr:row>
      <xdr:rowOff>81280</xdr:rowOff>
    </xdr:from>
    <xdr:ext cx="213899" cy="298919"/>
    <xdr:sp macro="" textlink="">
      <xdr:nvSpPr>
        <xdr:cNvPr id="2" name="テキスト ボックス 1">
          <a:extLst>
            <a:ext uri="{FF2B5EF4-FFF2-40B4-BE49-F238E27FC236}">
              <a16:creationId xmlns:a16="http://schemas.microsoft.com/office/drawing/2014/main" id="{FB79A62E-6A75-F4CA-F757-5C2A79EF85CC}"/>
            </a:ext>
          </a:extLst>
        </xdr:cNvPr>
        <xdr:cNvSpPr txBox="1"/>
      </xdr:nvSpPr>
      <xdr:spPr>
        <a:xfrm>
          <a:off x="3844290" y="16068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zh-CN" altLang="en-US"/>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6</xdr:col>
      <xdr:colOff>1974141</xdr:colOff>
      <xdr:row>4</xdr:row>
      <xdr:rowOff>214817</xdr:rowOff>
    </xdr:from>
    <xdr:to>
      <xdr:col>8</xdr:col>
      <xdr:colOff>3118651</xdr:colOff>
      <xdr:row>9</xdr:row>
      <xdr:rowOff>33591</xdr:rowOff>
    </xdr:to>
    <xdr:sp macro="" textlink="">
      <xdr:nvSpPr>
        <xdr:cNvPr id="2" name="テキスト ボックス 1">
          <a:extLst>
            <a:ext uri="{FF2B5EF4-FFF2-40B4-BE49-F238E27FC236}">
              <a16:creationId xmlns:a16="http://schemas.microsoft.com/office/drawing/2014/main" id="{7134D2DE-EE1B-DE77-5AF5-7C0632DB191B}"/>
            </a:ext>
          </a:extLst>
        </xdr:cNvPr>
        <xdr:cNvSpPr txBox="1"/>
      </xdr:nvSpPr>
      <xdr:spPr>
        <a:xfrm>
          <a:off x="12897971" y="1086971"/>
          <a:ext cx="5434853" cy="1467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いつ使うチェックシートなのか</a:t>
          </a:r>
          <a:endParaRPr kumimoji="1" lang="en-US" altLang="ja-JP" sz="1100"/>
        </a:p>
        <a:p>
          <a:r>
            <a:rPr kumimoji="1" lang="ja-JP" altLang="en-US" sz="1100"/>
            <a:t>毎回確認する内容ではないが、年に</a:t>
          </a:r>
          <a:r>
            <a:rPr kumimoji="1" lang="en-US" altLang="ja-JP" sz="1100"/>
            <a:t>1</a:t>
          </a:r>
          <a:r>
            <a:rPr kumimoji="1" lang="ja-JP" altLang="en-US" sz="1100"/>
            <a:t>度程度は確認する内容</a:t>
          </a:r>
          <a:endParaRPr kumimoji="1" lang="en-US" altLang="ja-JP" sz="1100"/>
        </a:p>
        <a:p>
          <a:r>
            <a:rPr kumimoji="1" lang="ja-JP" altLang="en-US" sz="1100">
              <a:solidFill>
                <a:srgbClr val="FF0000"/>
              </a:solidFill>
            </a:rPr>
            <a:t>ノウハウ集のようなものがあれば良い（新任者向け）</a:t>
          </a:r>
          <a:endParaRPr kumimoji="1" lang="en-US" altLang="ja-JP" sz="1100">
            <a:solidFill>
              <a:srgbClr val="FF0000"/>
            </a:solidFill>
          </a:endParaRPr>
        </a:p>
        <a:p>
          <a:r>
            <a:rPr kumimoji="1" lang="ja-JP" altLang="en-US" sz="1100">
              <a:solidFill>
                <a:srgbClr val="FF0000"/>
              </a:solidFill>
            </a:rPr>
            <a:t>⇒「ＢＡＮＫ・Ｒ初めてマニュアル」によくある障害等を記載すると良いかも</a:t>
          </a:r>
          <a:endParaRPr kumimoji="1" lang="en-US" altLang="ja-JP" sz="1100">
            <a:solidFill>
              <a:srgbClr val="FF0000"/>
            </a:solidFill>
          </a:endParaRPr>
        </a:p>
        <a:p>
          <a:r>
            <a:rPr kumimoji="1" lang="en-US" altLang="ja-JP" sz="1100">
              <a:solidFill>
                <a:srgbClr val="FF0000"/>
              </a:solidFill>
            </a:rPr>
            <a:t>OneNote</a:t>
          </a:r>
          <a:r>
            <a:rPr kumimoji="1" lang="ja-JP" altLang="en-US" sz="1100">
              <a:solidFill>
                <a:srgbClr val="FF0000"/>
              </a:solidFill>
            </a:rPr>
            <a:t>等に記載</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ctrlProp" Target="../ctrlProps/ctrlProp10.xml"/><Relationship Id="rId7" Type="http://schemas.openxmlformats.org/officeDocument/2006/relationships/ctrlProp" Target="../ctrlProps/ctrlProp14.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2.xml"/><Relationship Id="rId3" Type="http://schemas.openxmlformats.org/officeDocument/2006/relationships/ctrlProp" Target="../ctrlProps/ctrlProp17.xml"/><Relationship Id="rId7" Type="http://schemas.openxmlformats.org/officeDocument/2006/relationships/ctrlProp" Target="../ctrlProps/ctrlProp21.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trlProp" Target="../ctrlProps/ctrlProp20.xml"/><Relationship Id="rId5" Type="http://schemas.openxmlformats.org/officeDocument/2006/relationships/ctrlProp" Target="../ctrlProps/ctrlProp19.xml"/><Relationship Id="rId10" Type="http://schemas.openxmlformats.org/officeDocument/2006/relationships/ctrlProp" Target="../ctrlProps/ctrlProp24.xml"/><Relationship Id="rId4" Type="http://schemas.openxmlformats.org/officeDocument/2006/relationships/ctrlProp" Target="../ctrlProps/ctrlProp18.xml"/><Relationship Id="rId9" Type="http://schemas.openxmlformats.org/officeDocument/2006/relationships/ctrlProp" Target="../ctrlProps/ctrlProp2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C6DE-25BE-DD4B-B652-C270569ABF9A}">
  <sheetPr codeName="Sheet1"/>
  <dimension ref="A1:I617"/>
  <sheetViews>
    <sheetView topLeftCell="A114" zoomScale="85" zoomScaleNormal="85" workbookViewId="0">
      <selection activeCell="A125" sqref="A125"/>
    </sheetView>
  </sheetViews>
  <sheetFormatPr baseColWidth="10" defaultColWidth="9" defaultRowHeight="11.25" customHeight="1"/>
  <cols>
    <col min="1" max="1" width="5.83203125" style="49" customWidth="1"/>
    <col min="2" max="2" width="13.5" style="49" bestFit="1" customWidth="1"/>
    <col min="3" max="3" width="10.1640625" style="49" bestFit="1" customWidth="1"/>
    <col min="4" max="4" width="8" style="49" customWidth="1"/>
    <col min="5" max="5" width="31.1640625" style="49" customWidth="1"/>
    <col min="6" max="6" width="29.1640625" style="49" customWidth="1"/>
    <col min="7" max="7" width="55.33203125" style="34" customWidth="1"/>
    <col min="8" max="16384" width="9" style="34"/>
  </cols>
  <sheetData>
    <row r="1" spans="1:7" ht="33.75" customHeight="1">
      <c r="A1" s="31" t="s">
        <v>0</v>
      </c>
      <c r="B1" s="32" t="s">
        <v>1</v>
      </c>
      <c r="C1" s="31" t="s">
        <v>2</v>
      </c>
      <c r="D1" s="31" t="s">
        <v>3</v>
      </c>
      <c r="E1" s="33"/>
      <c r="F1" s="33"/>
      <c r="G1" s="31" t="s">
        <v>4</v>
      </c>
    </row>
    <row r="2" spans="1:7" ht="15">
      <c r="A2" s="35"/>
      <c r="B2" s="36"/>
      <c r="C2" s="35"/>
      <c r="D2" s="35"/>
      <c r="E2" s="37" t="s">
        <v>5</v>
      </c>
      <c r="F2" s="37" t="s">
        <v>6</v>
      </c>
      <c r="G2" s="35"/>
    </row>
    <row r="3" spans="1:7" s="43" customFormat="1" ht="11.25" customHeight="1">
      <c r="A3" s="38">
        <v>1</v>
      </c>
      <c r="B3" s="39">
        <v>42065</v>
      </c>
      <c r="C3" s="40" t="s">
        <v>7</v>
      </c>
      <c r="D3" s="40" t="s">
        <v>8</v>
      </c>
      <c r="E3" s="41"/>
      <c r="F3" s="41"/>
      <c r="G3" s="42" t="s">
        <v>9</v>
      </c>
    </row>
    <row r="4" spans="1:7" ht="11.25" customHeight="1">
      <c r="A4" s="38">
        <v>1</v>
      </c>
      <c r="B4" s="39">
        <v>42072</v>
      </c>
      <c r="C4" s="40" t="s">
        <v>7</v>
      </c>
      <c r="D4" s="40" t="s">
        <v>10</v>
      </c>
      <c r="E4" s="45" t="s">
        <v>11</v>
      </c>
      <c r="F4" s="41" t="s">
        <v>12</v>
      </c>
      <c r="G4" s="42" t="s">
        <v>13</v>
      </c>
    </row>
    <row r="5" spans="1:7" ht="11.25" customHeight="1">
      <c r="A5" s="38">
        <v>1</v>
      </c>
      <c r="B5" s="39">
        <v>42072</v>
      </c>
      <c r="C5" s="40" t="s">
        <v>7</v>
      </c>
      <c r="D5" s="40" t="s">
        <v>14</v>
      </c>
      <c r="E5" s="45" t="s">
        <v>15</v>
      </c>
      <c r="F5" s="68" t="s">
        <v>16</v>
      </c>
      <c r="G5" s="42" t="s">
        <v>17</v>
      </c>
    </row>
    <row r="6" spans="1:7" ht="11.25" customHeight="1">
      <c r="A6" s="38">
        <v>1</v>
      </c>
      <c r="B6" s="39">
        <v>42107</v>
      </c>
      <c r="C6" s="40" t="s">
        <v>7</v>
      </c>
      <c r="D6" s="40" t="s">
        <v>10</v>
      </c>
      <c r="E6" s="45" t="s">
        <v>15</v>
      </c>
      <c r="F6" s="45" t="s">
        <v>18</v>
      </c>
      <c r="G6" s="45" t="s">
        <v>19</v>
      </c>
    </row>
    <row r="7" spans="1:7" ht="11.25" customHeight="1">
      <c r="A7" s="38">
        <v>1</v>
      </c>
      <c r="B7" s="39">
        <v>42125</v>
      </c>
      <c r="C7" s="40" t="s">
        <v>7</v>
      </c>
      <c r="D7" s="40" t="s">
        <v>20</v>
      </c>
      <c r="E7" s="45" t="s">
        <v>15</v>
      </c>
      <c r="F7" s="45" t="s">
        <v>21</v>
      </c>
      <c r="G7" s="45" t="s">
        <v>22</v>
      </c>
    </row>
    <row r="8" spans="1:7" ht="11.25" customHeight="1">
      <c r="A8" s="38">
        <v>1</v>
      </c>
      <c r="B8" s="39">
        <v>42132</v>
      </c>
      <c r="C8" s="40" t="s">
        <v>7</v>
      </c>
      <c r="D8" s="44" t="s">
        <v>23</v>
      </c>
      <c r="E8" s="45" t="s">
        <v>15</v>
      </c>
      <c r="F8" s="70" t="s">
        <v>24</v>
      </c>
      <c r="G8" s="45" t="s">
        <v>25</v>
      </c>
    </row>
    <row r="9" spans="1:7" ht="30">
      <c r="A9" s="38">
        <v>1</v>
      </c>
      <c r="B9" s="39">
        <v>42145</v>
      </c>
      <c r="C9" s="44" t="s">
        <v>7</v>
      </c>
      <c r="D9" s="44" t="s">
        <v>26</v>
      </c>
      <c r="E9" s="45" t="s">
        <v>27</v>
      </c>
      <c r="F9" s="45"/>
      <c r="G9" s="45" t="s">
        <v>28</v>
      </c>
    </row>
    <row r="10" spans="1:7" ht="30">
      <c r="A10" s="38">
        <v>1</v>
      </c>
      <c r="B10" s="39">
        <v>42159</v>
      </c>
      <c r="C10" s="44" t="s">
        <v>7</v>
      </c>
      <c r="D10" s="44" t="s">
        <v>29</v>
      </c>
      <c r="E10" s="45" t="s">
        <v>30</v>
      </c>
      <c r="F10" s="76" t="s">
        <v>31</v>
      </c>
      <c r="G10" s="45" t="s">
        <v>32</v>
      </c>
    </row>
    <row r="11" spans="1:7" ht="11.25" customHeight="1">
      <c r="A11" s="38">
        <v>1</v>
      </c>
      <c r="B11" s="39">
        <v>42159</v>
      </c>
      <c r="C11" s="44" t="s">
        <v>7</v>
      </c>
      <c r="D11" s="44" t="s">
        <v>29</v>
      </c>
      <c r="E11" s="45" t="s">
        <v>33</v>
      </c>
      <c r="F11" s="76" t="s">
        <v>34</v>
      </c>
      <c r="G11" s="45" t="s">
        <v>35</v>
      </c>
    </row>
    <row r="12" spans="1:7" ht="11.25" customHeight="1">
      <c r="A12" s="38">
        <v>1</v>
      </c>
      <c r="B12" s="39">
        <v>42159</v>
      </c>
      <c r="C12" s="44" t="s">
        <v>36</v>
      </c>
      <c r="D12" s="44" t="s">
        <v>37</v>
      </c>
      <c r="E12" s="45" t="s">
        <v>38</v>
      </c>
      <c r="F12" s="76" t="s">
        <v>39</v>
      </c>
      <c r="G12" s="45" t="s">
        <v>40</v>
      </c>
    </row>
    <row r="13" spans="1:7" ht="11.25" customHeight="1">
      <c r="A13" s="38">
        <v>1</v>
      </c>
      <c r="B13" s="39">
        <v>42163</v>
      </c>
      <c r="C13" s="44" t="s">
        <v>7</v>
      </c>
      <c r="D13" s="44" t="s">
        <v>41</v>
      </c>
      <c r="E13" s="45" t="s">
        <v>38</v>
      </c>
      <c r="F13" s="45" t="s">
        <v>42</v>
      </c>
      <c r="G13" s="45" t="s">
        <v>43</v>
      </c>
    </row>
    <row r="14" spans="1:7" ht="11.25" customHeight="1">
      <c r="A14" s="38">
        <v>1</v>
      </c>
      <c r="B14" s="39">
        <v>42165</v>
      </c>
      <c r="C14" s="44" t="s">
        <v>36</v>
      </c>
      <c r="D14" s="44" t="s">
        <v>44</v>
      </c>
      <c r="E14" s="45" t="s">
        <v>45</v>
      </c>
      <c r="F14" s="45" t="s">
        <v>46</v>
      </c>
      <c r="G14" s="45" t="s">
        <v>47</v>
      </c>
    </row>
    <row r="15" spans="1:7" ht="11.25" customHeight="1">
      <c r="A15" s="38">
        <v>1</v>
      </c>
      <c r="B15" s="39">
        <v>42165</v>
      </c>
      <c r="C15" s="44" t="s">
        <v>36</v>
      </c>
      <c r="D15" s="44" t="s">
        <v>44</v>
      </c>
      <c r="E15" s="45" t="s">
        <v>48</v>
      </c>
      <c r="F15" s="45" t="s">
        <v>49</v>
      </c>
      <c r="G15" s="45" t="s">
        <v>47</v>
      </c>
    </row>
    <row r="16" spans="1:7" ht="30">
      <c r="A16" s="38">
        <v>1</v>
      </c>
      <c r="B16" s="39">
        <v>42184</v>
      </c>
      <c r="C16" s="44" t="s">
        <v>7</v>
      </c>
      <c r="D16" s="44" t="s">
        <v>41</v>
      </c>
      <c r="E16" s="45" t="s">
        <v>50</v>
      </c>
      <c r="F16" s="80" t="s">
        <v>51</v>
      </c>
      <c r="G16" s="45" t="s">
        <v>52</v>
      </c>
    </row>
    <row r="17" spans="1:7" ht="11.25" customHeight="1">
      <c r="A17" s="38">
        <v>1</v>
      </c>
      <c r="B17" s="39">
        <v>42187</v>
      </c>
      <c r="C17" s="44" t="s">
        <v>7</v>
      </c>
      <c r="D17" s="44" t="s">
        <v>41</v>
      </c>
      <c r="E17" s="45" t="s">
        <v>15</v>
      </c>
      <c r="F17" s="45" t="s">
        <v>53</v>
      </c>
      <c r="G17" s="45" t="s">
        <v>54</v>
      </c>
    </row>
    <row r="18" spans="1:7" ht="11.25" customHeight="1">
      <c r="A18" s="38">
        <v>1</v>
      </c>
      <c r="B18" s="39">
        <v>42187</v>
      </c>
      <c r="C18" s="44" t="s">
        <v>7</v>
      </c>
      <c r="D18" s="44" t="s">
        <v>41</v>
      </c>
      <c r="E18" s="45" t="s">
        <v>48</v>
      </c>
      <c r="F18" s="45" t="s">
        <v>55</v>
      </c>
      <c r="G18" s="45" t="s">
        <v>56</v>
      </c>
    </row>
    <row r="19" spans="1:7" ht="11.25" customHeight="1">
      <c r="A19" s="38">
        <v>1</v>
      </c>
      <c r="B19" s="39">
        <v>42187</v>
      </c>
      <c r="C19" s="44" t="s">
        <v>7</v>
      </c>
      <c r="D19" s="44" t="s">
        <v>41</v>
      </c>
      <c r="E19" s="45" t="s">
        <v>15</v>
      </c>
      <c r="F19" s="45" t="s">
        <v>57</v>
      </c>
      <c r="G19" s="45" t="s">
        <v>58</v>
      </c>
    </row>
    <row r="20" spans="1:7" ht="11.25" customHeight="1">
      <c r="A20" s="38">
        <v>1</v>
      </c>
      <c r="B20" s="39">
        <v>42187</v>
      </c>
      <c r="C20" s="44" t="s">
        <v>7</v>
      </c>
      <c r="D20" s="44" t="s">
        <v>41</v>
      </c>
      <c r="E20" s="45" t="s">
        <v>48</v>
      </c>
      <c r="F20" s="45" t="s">
        <v>59</v>
      </c>
      <c r="G20" s="45" t="s">
        <v>58</v>
      </c>
    </row>
    <row r="21" spans="1:7" ht="11.25" customHeight="1">
      <c r="A21" s="38">
        <v>1</v>
      </c>
      <c r="B21" s="39">
        <v>42187</v>
      </c>
      <c r="C21" s="44" t="s">
        <v>7</v>
      </c>
      <c r="D21" s="44" t="s">
        <v>60</v>
      </c>
      <c r="E21" s="45" t="s">
        <v>48</v>
      </c>
      <c r="F21" s="46" t="s">
        <v>61</v>
      </c>
      <c r="G21" s="46" t="s">
        <v>62</v>
      </c>
    </row>
    <row r="22" spans="1:7" ht="11.25" customHeight="1">
      <c r="A22" s="38">
        <v>1</v>
      </c>
      <c r="B22" s="39">
        <v>42187</v>
      </c>
      <c r="C22" s="44" t="s">
        <v>36</v>
      </c>
      <c r="D22" s="44" t="s">
        <v>37</v>
      </c>
      <c r="E22" s="45" t="s">
        <v>48</v>
      </c>
      <c r="F22" s="46" t="s">
        <v>63</v>
      </c>
      <c r="G22" s="46" t="s">
        <v>64</v>
      </c>
    </row>
    <row r="23" spans="1:7" ht="30">
      <c r="A23" s="38">
        <v>1</v>
      </c>
      <c r="B23" s="39">
        <v>42188</v>
      </c>
      <c r="C23" s="44" t="s">
        <v>65</v>
      </c>
      <c r="D23" s="44" t="s">
        <v>37</v>
      </c>
      <c r="E23" s="45" t="s">
        <v>48</v>
      </c>
      <c r="F23" s="46" t="s">
        <v>66</v>
      </c>
      <c r="G23" s="86" t="s">
        <v>67</v>
      </c>
    </row>
    <row r="24" spans="1:7" ht="11.25" customHeight="1">
      <c r="A24" s="38">
        <v>1</v>
      </c>
      <c r="B24" s="39">
        <v>42188</v>
      </c>
      <c r="C24" s="44" t="s">
        <v>36</v>
      </c>
      <c r="D24" s="44" t="s">
        <v>44</v>
      </c>
      <c r="E24" s="45" t="s">
        <v>48</v>
      </c>
      <c r="F24" s="46" t="s">
        <v>68</v>
      </c>
      <c r="G24" s="46" t="s">
        <v>69</v>
      </c>
    </row>
    <row r="25" spans="1:7" ht="11.25" customHeight="1">
      <c r="A25" s="38">
        <v>1</v>
      </c>
      <c r="B25" s="39">
        <v>42193</v>
      </c>
      <c r="C25" s="44" t="s">
        <v>7</v>
      </c>
      <c r="D25" s="44" t="s">
        <v>41</v>
      </c>
      <c r="E25" s="45" t="s">
        <v>15</v>
      </c>
      <c r="F25" s="45" t="s">
        <v>70</v>
      </c>
      <c r="G25" s="46" t="s">
        <v>71</v>
      </c>
    </row>
    <row r="26" spans="1:7" ht="11.25" customHeight="1">
      <c r="A26" s="38">
        <v>1</v>
      </c>
      <c r="B26" s="39">
        <v>42193</v>
      </c>
      <c r="C26" s="44" t="s">
        <v>7</v>
      </c>
      <c r="D26" s="44" t="s">
        <v>41</v>
      </c>
      <c r="E26" s="45" t="s">
        <v>72</v>
      </c>
      <c r="F26" s="70">
        <v>42081</v>
      </c>
      <c r="G26" s="46" t="s">
        <v>71</v>
      </c>
    </row>
    <row r="27" spans="1:7" ht="11.25" customHeight="1">
      <c r="A27" s="38">
        <v>1</v>
      </c>
      <c r="B27" s="39">
        <v>42214</v>
      </c>
      <c r="C27" s="44" t="s">
        <v>7</v>
      </c>
      <c r="D27" s="44" t="s">
        <v>41</v>
      </c>
      <c r="E27" s="45" t="s">
        <v>15</v>
      </c>
      <c r="F27" s="45" t="s">
        <v>73</v>
      </c>
      <c r="G27" s="46" t="s">
        <v>74</v>
      </c>
    </row>
    <row r="28" spans="1:7" ht="11.25" customHeight="1">
      <c r="A28" s="38">
        <v>1</v>
      </c>
      <c r="B28" s="39">
        <v>42214</v>
      </c>
      <c r="C28" s="44" t="s">
        <v>7</v>
      </c>
      <c r="D28" s="44" t="s">
        <v>41</v>
      </c>
      <c r="E28" s="45" t="s">
        <v>48</v>
      </c>
      <c r="F28" s="45" t="s">
        <v>75</v>
      </c>
      <c r="G28" s="46" t="s">
        <v>74</v>
      </c>
    </row>
    <row r="29" spans="1:7" ht="11.25" customHeight="1">
      <c r="A29" s="38">
        <v>1</v>
      </c>
      <c r="B29" s="39">
        <v>42215</v>
      </c>
      <c r="C29" s="44" t="s">
        <v>36</v>
      </c>
      <c r="D29" s="44" t="s">
        <v>76</v>
      </c>
      <c r="E29" s="45" t="s">
        <v>48</v>
      </c>
      <c r="F29" s="113" t="s">
        <v>77</v>
      </c>
      <c r="G29" s="46" t="s">
        <v>78</v>
      </c>
    </row>
    <row r="30" spans="1:7" ht="11.25" customHeight="1">
      <c r="A30" s="38">
        <v>1</v>
      </c>
      <c r="B30" s="39">
        <v>42215</v>
      </c>
      <c r="C30" s="44" t="s">
        <v>7</v>
      </c>
      <c r="D30" s="44" t="s">
        <v>76</v>
      </c>
      <c r="E30" s="46" t="s">
        <v>45</v>
      </c>
      <c r="F30" s="113" t="s">
        <v>79</v>
      </c>
      <c r="G30" s="46" t="s">
        <v>80</v>
      </c>
    </row>
    <row r="31" spans="1:7" ht="11.25" customHeight="1">
      <c r="A31" s="38">
        <v>1</v>
      </c>
      <c r="B31" s="39">
        <v>42215</v>
      </c>
      <c r="C31" s="44" t="s">
        <v>7</v>
      </c>
      <c r="D31" s="44" t="s">
        <v>76</v>
      </c>
      <c r="E31" s="46" t="s">
        <v>45</v>
      </c>
      <c r="F31" s="113" t="s">
        <v>81</v>
      </c>
      <c r="G31" s="46" t="s">
        <v>78</v>
      </c>
    </row>
    <row r="32" spans="1:7" ht="11.25" customHeight="1">
      <c r="A32" s="38">
        <v>1</v>
      </c>
      <c r="B32" s="39">
        <v>42215</v>
      </c>
      <c r="C32" s="44" t="s">
        <v>82</v>
      </c>
      <c r="D32" s="44" t="s">
        <v>83</v>
      </c>
      <c r="E32" s="46" t="s">
        <v>84</v>
      </c>
      <c r="F32" s="46" t="s">
        <v>85</v>
      </c>
      <c r="G32" s="46" t="s">
        <v>86</v>
      </c>
    </row>
    <row r="33" spans="1:7" ht="11.25" customHeight="1">
      <c r="A33" s="38">
        <v>1</v>
      </c>
      <c r="B33" s="39">
        <v>42221</v>
      </c>
      <c r="C33" s="44" t="s">
        <v>7</v>
      </c>
      <c r="D33" s="44" t="s">
        <v>41</v>
      </c>
      <c r="E33" s="45" t="s">
        <v>15</v>
      </c>
      <c r="F33" s="46" t="s">
        <v>81</v>
      </c>
      <c r="G33" s="46" t="s">
        <v>87</v>
      </c>
    </row>
    <row r="34" spans="1:7" ht="11.25" customHeight="1">
      <c r="A34" s="38">
        <v>1</v>
      </c>
      <c r="B34" s="39">
        <v>42221</v>
      </c>
      <c r="C34" s="44" t="s">
        <v>7</v>
      </c>
      <c r="D34" s="44" t="s">
        <v>41</v>
      </c>
      <c r="E34" s="45" t="s">
        <v>48</v>
      </c>
      <c r="F34" s="46" t="s">
        <v>88</v>
      </c>
      <c r="G34" s="46" t="s">
        <v>89</v>
      </c>
    </row>
    <row r="35" spans="1:7" ht="11.25" customHeight="1">
      <c r="A35" s="38">
        <v>1</v>
      </c>
      <c r="B35" s="39">
        <v>42221</v>
      </c>
      <c r="C35" s="44" t="s">
        <v>7</v>
      </c>
      <c r="D35" s="44" t="s">
        <v>41</v>
      </c>
      <c r="E35" s="45" t="s">
        <v>72</v>
      </c>
      <c r="F35" s="114" t="s">
        <v>90</v>
      </c>
      <c r="G35" s="46" t="s">
        <v>89</v>
      </c>
    </row>
    <row r="36" spans="1:7" ht="30">
      <c r="A36" s="38">
        <v>1</v>
      </c>
      <c r="B36" s="39">
        <v>42226</v>
      </c>
      <c r="C36" s="44" t="s">
        <v>7</v>
      </c>
      <c r="D36" s="44" t="s">
        <v>91</v>
      </c>
      <c r="E36" s="45" t="s">
        <v>92</v>
      </c>
      <c r="F36" s="115" t="s">
        <v>93</v>
      </c>
      <c r="G36" s="46" t="s">
        <v>94</v>
      </c>
    </row>
    <row r="37" spans="1:7" ht="11.25" customHeight="1">
      <c r="A37" s="38">
        <v>1</v>
      </c>
      <c r="B37" s="39">
        <v>42226</v>
      </c>
      <c r="C37" s="44" t="s">
        <v>7</v>
      </c>
      <c r="D37" s="44" t="s">
        <v>91</v>
      </c>
      <c r="E37" s="45" t="s">
        <v>11</v>
      </c>
      <c r="F37" s="115" t="s">
        <v>95</v>
      </c>
      <c r="G37" s="46" t="s">
        <v>96</v>
      </c>
    </row>
    <row r="38" spans="1:7" ht="11.25" customHeight="1">
      <c r="A38" s="38">
        <v>1</v>
      </c>
      <c r="B38" s="39">
        <v>42234</v>
      </c>
      <c r="C38" s="44" t="s">
        <v>7</v>
      </c>
      <c r="D38" s="44" t="s">
        <v>23</v>
      </c>
      <c r="E38" s="45" t="s">
        <v>30</v>
      </c>
      <c r="F38" s="76" t="s">
        <v>97</v>
      </c>
      <c r="G38" s="45" t="s">
        <v>98</v>
      </c>
    </row>
    <row r="39" spans="1:7" ht="11.25" customHeight="1">
      <c r="A39" s="38">
        <v>1</v>
      </c>
      <c r="B39" s="39">
        <v>42234</v>
      </c>
      <c r="C39" s="44" t="s">
        <v>7</v>
      </c>
      <c r="D39" s="44" t="s">
        <v>23</v>
      </c>
      <c r="E39" s="45" t="s">
        <v>33</v>
      </c>
      <c r="F39" s="76" t="s">
        <v>99</v>
      </c>
      <c r="G39" s="45" t="s">
        <v>35</v>
      </c>
    </row>
    <row r="40" spans="1:7" ht="11.25" customHeight="1">
      <c r="A40" s="38">
        <v>1</v>
      </c>
      <c r="B40" s="39">
        <v>42243</v>
      </c>
      <c r="C40" s="44" t="s">
        <v>7</v>
      </c>
      <c r="D40" s="44" t="s">
        <v>100</v>
      </c>
      <c r="E40" s="45" t="s">
        <v>15</v>
      </c>
      <c r="F40" s="76" t="s">
        <v>101</v>
      </c>
      <c r="G40" s="45" t="s">
        <v>102</v>
      </c>
    </row>
    <row r="41" spans="1:7" ht="11.25" customHeight="1">
      <c r="A41" s="38">
        <v>1</v>
      </c>
      <c r="B41" s="39">
        <v>42243</v>
      </c>
      <c r="C41" s="44" t="s">
        <v>7</v>
      </c>
      <c r="D41" s="44" t="s">
        <v>100</v>
      </c>
      <c r="E41" s="46" t="s">
        <v>11</v>
      </c>
      <c r="F41" s="46" t="s">
        <v>103</v>
      </c>
      <c r="G41" s="45" t="s">
        <v>35</v>
      </c>
    </row>
    <row r="42" spans="1:7" ht="11.25" customHeight="1">
      <c r="A42" s="38">
        <v>1</v>
      </c>
      <c r="B42" s="39">
        <v>42243</v>
      </c>
      <c r="C42" s="44" t="s">
        <v>7</v>
      </c>
      <c r="D42" s="44" t="s">
        <v>100</v>
      </c>
      <c r="E42" s="46" t="s">
        <v>50</v>
      </c>
      <c r="F42" s="115" t="s">
        <v>104</v>
      </c>
      <c r="G42" s="45" t="s">
        <v>35</v>
      </c>
    </row>
    <row r="43" spans="1:7" ht="11.25" customHeight="1">
      <c r="A43" s="38">
        <v>1</v>
      </c>
      <c r="B43" s="39">
        <v>42250</v>
      </c>
      <c r="C43" s="44" t="s">
        <v>105</v>
      </c>
      <c r="D43" s="44" t="s">
        <v>106</v>
      </c>
      <c r="E43" s="45" t="s">
        <v>72</v>
      </c>
      <c r="F43" s="115" t="s">
        <v>107</v>
      </c>
      <c r="G43" s="46" t="s">
        <v>108</v>
      </c>
    </row>
    <row r="44" spans="1:7" ht="11.25" customHeight="1">
      <c r="A44" s="38">
        <v>1</v>
      </c>
      <c r="B44" s="39">
        <v>42255</v>
      </c>
      <c r="C44" s="44" t="s">
        <v>105</v>
      </c>
      <c r="D44" s="44" t="s">
        <v>109</v>
      </c>
      <c r="E44" s="45" t="s">
        <v>48</v>
      </c>
      <c r="F44" s="115" t="s">
        <v>107</v>
      </c>
      <c r="G44" s="46" t="s">
        <v>108</v>
      </c>
    </row>
    <row r="45" spans="1:7" ht="11.25" customHeight="1">
      <c r="A45" s="38">
        <v>1</v>
      </c>
      <c r="B45" s="39">
        <v>42257</v>
      </c>
      <c r="C45" s="44" t="s">
        <v>7</v>
      </c>
      <c r="D45" s="44" t="s">
        <v>41</v>
      </c>
      <c r="E45" s="46" t="s">
        <v>110</v>
      </c>
      <c r="F45" s="115" t="s">
        <v>111</v>
      </c>
      <c r="G45" s="46" t="s">
        <v>112</v>
      </c>
    </row>
    <row r="46" spans="1:7" ht="11.25" customHeight="1">
      <c r="A46" s="38">
        <v>1</v>
      </c>
      <c r="B46" s="39">
        <v>42258</v>
      </c>
      <c r="C46" s="44" t="s">
        <v>7</v>
      </c>
      <c r="D46" s="44" t="s">
        <v>44</v>
      </c>
      <c r="E46" s="46" t="s">
        <v>110</v>
      </c>
      <c r="F46" s="46" t="s">
        <v>113</v>
      </c>
      <c r="G46" s="46" t="s">
        <v>114</v>
      </c>
    </row>
    <row r="47" spans="1:7" ht="11.25" customHeight="1">
      <c r="A47" s="38">
        <v>1</v>
      </c>
      <c r="B47" s="39">
        <v>42261</v>
      </c>
      <c r="C47" s="44" t="s">
        <v>7</v>
      </c>
      <c r="D47" s="44" t="s">
        <v>60</v>
      </c>
      <c r="E47" s="46" t="s">
        <v>110</v>
      </c>
      <c r="F47" s="46" t="s">
        <v>115</v>
      </c>
      <c r="G47" s="46" t="s">
        <v>116</v>
      </c>
    </row>
    <row r="48" spans="1:7" ht="11.25" customHeight="1">
      <c r="A48" s="38">
        <v>1</v>
      </c>
      <c r="B48" s="39">
        <v>42277</v>
      </c>
      <c r="C48" s="44" t="s">
        <v>7</v>
      </c>
      <c r="D48" s="44" t="s">
        <v>44</v>
      </c>
      <c r="E48" s="46" t="s">
        <v>110</v>
      </c>
      <c r="F48" s="115" t="s">
        <v>117</v>
      </c>
      <c r="G48" s="45" t="s">
        <v>118</v>
      </c>
    </row>
    <row r="49" spans="1:7" ht="11.25" customHeight="1">
      <c r="A49" s="38">
        <v>1</v>
      </c>
      <c r="B49" s="39">
        <v>42282</v>
      </c>
      <c r="C49" s="44" t="s">
        <v>36</v>
      </c>
      <c r="D49" s="44" t="s">
        <v>44</v>
      </c>
      <c r="E49" s="45" t="s">
        <v>50</v>
      </c>
      <c r="F49" s="118" t="s">
        <v>119</v>
      </c>
      <c r="G49" s="45" t="s">
        <v>120</v>
      </c>
    </row>
    <row r="50" spans="1:7" ht="30">
      <c r="A50" s="38">
        <v>1</v>
      </c>
      <c r="B50" s="39">
        <v>42291</v>
      </c>
      <c r="C50" s="44" t="s">
        <v>65</v>
      </c>
      <c r="D50" s="44" t="s">
        <v>26</v>
      </c>
      <c r="E50" s="45" t="s">
        <v>121</v>
      </c>
      <c r="F50" s="118" t="s">
        <v>117</v>
      </c>
      <c r="G50" s="45" t="s">
        <v>122</v>
      </c>
    </row>
    <row r="51" spans="1:7" ht="11.25" customHeight="1">
      <c r="A51" s="38">
        <v>1</v>
      </c>
      <c r="B51" s="39">
        <v>42310</v>
      </c>
      <c r="C51" s="44" t="s">
        <v>7</v>
      </c>
      <c r="D51" s="44" t="s">
        <v>37</v>
      </c>
      <c r="E51" s="45" t="s">
        <v>15</v>
      </c>
      <c r="F51" s="45" t="s">
        <v>123</v>
      </c>
      <c r="G51" s="45" t="s">
        <v>124</v>
      </c>
    </row>
    <row r="52" spans="1:7" ht="12.75" customHeight="1">
      <c r="A52" s="38">
        <v>1</v>
      </c>
      <c r="B52" s="39">
        <v>42312</v>
      </c>
      <c r="C52" s="44" t="s">
        <v>7</v>
      </c>
      <c r="D52" s="44" t="s">
        <v>125</v>
      </c>
      <c r="E52" s="45" t="s">
        <v>11</v>
      </c>
      <c r="F52" s="118" t="s">
        <v>126</v>
      </c>
      <c r="G52" s="45" t="s">
        <v>127</v>
      </c>
    </row>
    <row r="53" spans="1:7" ht="11.25" customHeight="1">
      <c r="A53" s="38">
        <v>1</v>
      </c>
      <c r="B53" s="39">
        <v>42312</v>
      </c>
      <c r="C53" s="44" t="s">
        <v>7</v>
      </c>
      <c r="D53" s="44" t="s">
        <v>125</v>
      </c>
      <c r="E53" s="45" t="s">
        <v>50</v>
      </c>
      <c r="F53" s="118" t="s">
        <v>126</v>
      </c>
      <c r="G53" s="45" t="s">
        <v>128</v>
      </c>
    </row>
    <row r="54" spans="1:7" ht="11.25" customHeight="1">
      <c r="A54" s="38">
        <v>1</v>
      </c>
      <c r="B54" s="39">
        <v>42312</v>
      </c>
      <c r="C54" s="44" t="s">
        <v>7</v>
      </c>
      <c r="D54" s="44" t="s">
        <v>125</v>
      </c>
      <c r="E54" s="45" t="s">
        <v>50</v>
      </c>
      <c r="F54" s="118" t="s">
        <v>129</v>
      </c>
      <c r="G54" s="45" t="s">
        <v>130</v>
      </c>
    </row>
    <row r="55" spans="1:7" ht="12.75" customHeight="1">
      <c r="A55" s="38">
        <v>1</v>
      </c>
      <c r="B55" s="39">
        <v>42312</v>
      </c>
      <c r="C55" s="44" t="s">
        <v>7</v>
      </c>
      <c r="D55" s="44" t="s">
        <v>125</v>
      </c>
      <c r="E55" s="45" t="s">
        <v>50</v>
      </c>
      <c r="F55" s="118" t="s">
        <v>131</v>
      </c>
      <c r="G55" s="45" t="s">
        <v>132</v>
      </c>
    </row>
    <row r="56" spans="1:7" ht="11.25" customHeight="1">
      <c r="A56" s="38">
        <v>1</v>
      </c>
      <c r="B56" s="39">
        <v>42312</v>
      </c>
      <c r="C56" s="44" t="s">
        <v>7</v>
      </c>
      <c r="D56" s="44" t="s">
        <v>125</v>
      </c>
      <c r="E56" s="45" t="s">
        <v>133</v>
      </c>
      <c r="F56" s="118"/>
      <c r="G56" s="45" t="s">
        <v>134</v>
      </c>
    </row>
    <row r="57" spans="1:7" ht="11.25" customHeight="1">
      <c r="A57" s="38">
        <v>1</v>
      </c>
      <c r="B57" s="39">
        <v>42312</v>
      </c>
      <c r="C57" s="44" t="s">
        <v>7</v>
      </c>
      <c r="D57" s="44" t="s">
        <v>125</v>
      </c>
      <c r="E57" s="45" t="s">
        <v>135</v>
      </c>
      <c r="F57" s="45"/>
      <c r="G57" s="45" t="s">
        <v>136</v>
      </c>
    </row>
    <row r="58" spans="1:7" ht="11.25" customHeight="1">
      <c r="A58" s="38">
        <v>1</v>
      </c>
      <c r="B58" s="39">
        <v>42312</v>
      </c>
      <c r="C58" s="44" t="s">
        <v>7</v>
      </c>
      <c r="D58" s="44" t="s">
        <v>125</v>
      </c>
      <c r="E58" s="45" t="s">
        <v>137</v>
      </c>
      <c r="F58" s="45"/>
      <c r="G58" s="45" t="s">
        <v>138</v>
      </c>
    </row>
    <row r="59" spans="1:7" ht="11.25" customHeight="1">
      <c r="A59" s="38">
        <v>1</v>
      </c>
      <c r="B59" s="39">
        <v>42314</v>
      </c>
      <c r="C59" s="44" t="s">
        <v>7</v>
      </c>
      <c r="D59" s="44" t="s">
        <v>20</v>
      </c>
      <c r="E59" s="45" t="s">
        <v>110</v>
      </c>
      <c r="F59" s="118" t="s">
        <v>139</v>
      </c>
      <c r="G59" s="45" t="s">
        <v>140</v>
      </c>
    </row>
    <row r="60" spans="1:7" ht="75">
      <c r="A60" s="38">
        <v>2</v>
      </c>
      <c r="B60" s="39">
        <v>42317</v>
      </c>
      <c r="C60" s="44" t="s">
        <v>36</v>
      </c>
      <c r="D60" s="44" t="s">
        <v>44</v>
      </c>
      <c r="E60" s="45" t="s">
        <v>141</v>
      </c>
      <c r="F60" s="45"/>
      <c r="G60" s="45" t="s">
        <v>142</v>
      </c>
    </row>
    <row r="61" spans="1:7" ht="27" customHeight="1">
      <c r="A61" s="38">
        <v>2</v>
      </c>
      <c r="B61" s="39">
        <v>42317</v>
      </c>
      <c r="C61" s="44" t="s">
        <v>36</v>
      </c>
      <c r="D61" s="44" t="s">
        <v>125</v>
      </c>
      <c r="E61" s="45" t="s">
        <v>11</v>
      </c>
      <c r="F61" s="45" t="s">
        <v>143</v>
      </c>
      <c r="G61" s="45" t="s">
        <v>144</v>
      </c>
    </row>
    <row r="62" spans="1:7" ht="15">
      <c r="A62" s="38">
        <v>2</v>
      </c>
      <c r="B62" s="39">
        <v>42318</v>
      </c>
      <c r="C62" s="44" t="s">
        <v>36</v>
      </c>
      <c r="D62" s="44" t="s">
        <v>125</v>
      </c>
      <c r="E62" s="45" t="s">
        <v>11</v>
      </c>
      <c r="F62" s="45" t="s">
        <v>145</v>
      </c>
      <c r="G62" s="45" t="s">
        <v>146</v>
      </c>
    </row>
    <row r="63" spans="1:7" ht="11.25" customHeight="1">
      <c r="A63" s="38">
        <v>2</v>
      </c>
      <c r="B63" s="39">
        <v>42334</v>
      </c>
      <c r="C63" s="44" t="s">
        <v>65</v>
      </c>
      <c r="D63" s="44" t="s">
        <v>26</v>
      </c>
      <c r="E63" s="45" t="s">
        <v>15</v>
      </c>
      <c r="F63" s="118" t="s">
        <v>147</v>
      </c>
      <c r="G63" s="45" t="s">
        <v>148</v>
      </c>
    </row>
    <row r="64" spans="1:7" ht="15">
      <c r="A64" s="38">
        <v>2</v>
      </c>
      <c r="B64" s="39">
        <v>42334</v>
      </c>
      <c r="C64" s="44" t="s">
        <v>65</v>
      </c>
      <c r="D64" s="44" t="s">
        <v>26</v>
      </c>
      <c r="E64" s="45" t="s">
        <v>149</v>
      </c>
      <c r="F64" s="118" t="s">
        <v>150</v>
      </c>
      <c r="G64" s="45" t="s">
        <v>148</v>
      </c>
    </row>
    <row r="65" spans="1:7" ht="11.25" customHeight="1">
      <c r="A65" s="38">
        <v>2</v>
      </c>
      <c r="B65" s="39">
        <v>42334</v>
      </c>
      <c r="C65" s="44" t="s">
        <v>65</v>
      </c>
      <c r="D65" s="44" t="s">
        <v>26</v>
      </c>
      <c r="E65" s="45" t="s">
        <v>151</v>
      </c>
      <c r="F65" s="118" t="s">
        <v>152</v>
      </c>
      <c r="G65" s="45" t="s">
        <v>148</v>
      </c>
    </row>
    <row r="66" spans="1:7" ht="11.25" customHeight="1">
      <c r="A66" s="38">
        <v>2</v>
      </c>
      <c r="B66" s="39">
        <v>42347</v>
      </c>
      <c r="C66" s="44" t="s">
        <v>36</v>
      </c>
      <c r="D66" s="44" t="s">
        <v>44</v>
      </c>
      <c r="E66" s="45" t="s">
        <v>121</v>
      </c>
      <c r="F66" s="118" t="s">
        <v>153</v>
      </c>
      <c r="G66" s="45" t="s">
        <v>154</v>
      </c>
    </row>
    <row r="67" spans="1:7" ht="11.25" customHeight="1">
      <c r="A67" s="38">
        <v>2</v>
      </c>
      <c r="B67" s="39">
        <v>42359</v>
      </c>
      <c r="C67" s="44" t="s">
        <v>36</v>
      </c>
      <c r="D67" s="44" t="s">
        <v>44</v>
      </c>
      <c r="E67" s="45" t="s">
        <v>155</v>
      </c>
      <c r="F67" s="45"/>
      <c r="G67" s="45" t="s">
        <v>156</v>
      </c>
    </row>
    <row r="68" spans="1:7" ht="11.25" customHeight="1">
      <c r="A68" s="38">
        <v>2</v>
      </c>
      <c r="B68" s="39">
        <v>42360</v>
      </c>
      <c r="C68" s="44" t="s">
        <v>36</v>
      </c>
      <c r="D68" s="44" t="s">
        <v>37</v>
      </c>
      <c r="E68" s="45" t="s">
        <v>157</v>
      </c>
      <c r="F68" s="118" t="s">
        <v>158</v>
      </c>
      <c r="G68" s="45" t="s">
        <v>159</v>
      </c>
    </row>
    <row r="69" spans="1:7" ht="11.25" customHeight="1">
      <c r="A69" s="38">
        <v>2</v>
      </c>
      <c r="B69" s="39">
        <v>42395</v>
      </c>
      <c r="C69" s="44" t="s">
        <v>36</v>
      </c>
      <c r="D69" s="44" t="s">
        <v>160</v>
      </c>
      <c r="E69" s="45" t="s">
        <v>110</v>
      </c>
      <c r="F69" s="45"/>
      <c r="G69" s="45" t="s">
        <v>161</v>
      </c>
    </row>
    <row r="70" spans="1:7" ht="11.25" customHeight="1">
      <c r="A70" s="38">
        <v>2</v>
      </c>
      <c r="B70" s="39">
        <v>42397</v>
      </c>
      <c r="C70" s="44" t="s">
        <v>36</v>
      </c>
      <c r="D70" s="44" t="s">
        <v>26</v>
      </c>
      <c r="E70" s="45" t="s">
        <v>162</v>
      </c>
      <c r="F70" s="45"/>
      <c r="G70" s="45" t="s">
        <v>163</v>
      </c>
    </row>
    <row r="71" spans="1:7" ht="11.25" customHeight="1">
      <c r="A71" s="38">
        <v>2</v>
      </c>
      <c r="B71" s="39">
        <v>42398</v>
      </c>
      <c r="C71" s="44" t="s">
        <v>36</v>
      </c>
      <c r="D71" s="44" t="s">
        <v>164</v>
      </c>
      <c r="E71" s="45" t="s">
        <v>165</v>
      </c>
      <c r="F71" s="45" t="s">
        <v>166</v>
      </c>
      <c r="G71" s="45" t="s">
        <v>167</v>
      </c>
    </row>
    <row r="72" spans="1:7" ht="11.25" customHeight="1">
      <c r="A72" s="38">
        <v>2</v>
      </c>
      <c r="B72" s="39">
        <v>42417</v>
      </c>
      <c r="C72" s="44" t="s">
        <v>36</v>
      </c>
      <c r="D72" s="44" t="s">
        <v>168</v>
      </c>
      <c r="E72" s="45" t="s">
        <v>110</v>
      </c>
      <c r="F72" s="76" t="s">
        <v>169</v>
      </c>
      <c r="G72" s="45" t="s">
        <v>170</v>
      </c>
    </row>
    <row r="73" spans="1:7" ht="11.25" customHeight="1">
      <c r="A73" s="38">
        <v>2</v>
      </c>
      <c r="B73" s="39">
        <v>42429</v>
      </c>
      <c r="C73" s="44" t="s">
        <v>36</v>
      </c>
      <c r="D73" s="44" t="s">
        <v>171</v>
      </c>
      <c r="E73" s="45" t="s">
        <v>172</v>
      </c>
      <c r="F73" s="76" t="s">
        <v>173</v>
      </c>
      <c r="G73" s="45" t="s">
        <v>174</v>
      </c>
    </row>
    <row r="74" spans="1:7" ht="11.25" customHeight="1">
      <c r="A74" s="38">
        <v>2</v>
      </c>
      <c r="B74" s="39">
        <v>42431</v>
      </c>
      <c r="C74" s="44" t="s">
        <v>7</v>
      </c>
      <c r="D74" s="44" t="s">
        <v>41</v>
      </c>
      <c r="E74" s="45" t="s">
        <v>110</v>
      </c>
      <c r="F74" s="118" t="s">
        <v>175</v>
      </c>
      <c r="G74" s="45" t="s">
        <v>176</v>
      </c>
    </row>
    <row r="75" spans="1:7" ht="11.25" customHeight="1">
      <c r="A75" s="38">
        <v>2</v>
      </c>
      <c r="B75" s="39">
        <v>42446</v>
      </c>
      <c r="C75" s="44" t="s">
        <v>7</v>
      </c>
      <c r="D75" s="44" t="s">
        <v>44</v>
      </c>
      <c r="E75" s="45" t="s">
        <v>110</v>
      </c>
      <c r="F75" s="45"/>
      <c r="G75" s="46"/>
    </row>
    <row r="76" spans="1:7" ht="11.25" customHeight="1">
      <c r="A76" s="38">
        <v>2</v>
      </c>
      <c r="B76" s="39">
        <v>42453</v>
      </c>
      <c r="C76" s="44" t="s">
        <v>7</v>
      </c>
      <c r="D76" s="44" t="s">
        <v>26</v>
      </c>
      <c r="E76" s="45" t="s">
        <v>121</v>
      </c>
      <c r="F76" s="80" t="s">
        <v>150</v>
      </c>
      <c r="G76" s="46" t="s">
        <v>177</v>
      </c>
    </row>
    <row r="77" spans="1:7" ht="45">
      <c r="A77" s="38">
        <v>2</v>
      </c>
      <c r="B77" s="39">
        <v>42488</v>
      </c>
      <c r="C77" s="44" t="s">
        <v>7</v>
      </c>
      <c r="D77" s="44" t="s">
        <v>125</v>
      </c>
      <c r="E77" s="45" t="s">
        <v>157</v>
      </c>
      <c r="F77" s="80" t="s">
        <v>129</v>
      </c>
      <c r="G77" s="46" t="s">
        <v>178</v>
      </c>
    </row>
    <row r="78" spans="1:7" ht="30">
      <c r="A78" s="38">
        <v>2</v>
      </c>
      <c r="B78" s="39">
        <v>42492</v>
      </c>
      <c r="C78" s="44" t="s">
        <v>7</v>
      </c>
      <c r="D78" s="44" t="s">
        <v>125</v>
      </c>
      <c r="E78" s="45" t="s">
        <v>11</v>
      </c>
      <c r="F78" s="45" t="s">
        <v>39</v>
      </c>
      <c r="G78" s="46" t="s">
        <v>179</v>
      </c>
    </row>
    <row r="79" spans="1:7" s="174" customFormat="1" ht="15">
      <c r="A79" s="38">
        <v>2</v>
      </c>
      <c r="B79" s="39">
        <v>42500</v>
      </c>
      <c r="C79" s="44" t="s">
        <v>7</v>
      </c>
      <c r="D79" s="44" t="s">
        <v>180</v>
      </c>
      <c r="E79" s="45" t="s">
        <v>110</v>
      </c>
      <c r="F79" s="80" t="s">
        <v>181</v>
      </c>
      <c r="G79" s="46" t="s">
        <v>182</v>
      </c>
    </row>
    <row r="80" spans="1:7" s="174" customFormat="1" ht="30">
      <c r="A80" s="38">
        <v>2</v>
      </c>
      <c r="B80" s="39">
        <v>42500</v>
      </c>
      <c r="C80" s="44" t="s">
        <v>7</v>
      </c>
      <c r="D80" s="44" t="s">
        <v>180</v>
      </c>
      <c r="E80" s="45" t="s">
        <v>183</v>
      </c>
      <c r="F80" s="80" t="s">
        <v>139</v>
      </c>
      <c r="G80" s="46" t="s">
        <v>184</v>
      </c>
    </row>
    <row r="81" spans="1:7" s="174" customFormat="1" ht="30">
      <c r="A81" s="38">
        <v>2</v>
      </c>
      <c r="B81" s="39">
        <v>42500</v>
      </c>
      <c r="C81" s="44" t="s">
        <v>7</v>
      </c>
      <c r="D81" s="44" t="s">
        <v>180</v>
      </c>
      <c r="E81" s="45" t="s">
        <v>30</v>
      </c>
      <c r="F81" s="80" t="s">
        <v>147</v>
      </c>
      <c r="G81" s="46" t="s">
        <v>184</v>
      </c>
    </row>
    <row r="82" spans="1:7" s="174" customFormat="1" ht="30">
      <c r="A82" s="38">
        <v>2</v>
      </c>
      <c r="B82" s="39">
        <v>42500</v>
      </c>
      <c r="C82" s="44" t="s">
        <v>7</v>
      </c>
      <c r="D82" s="44" t="s">
        <v>180</v>
      </c>
      <c r="E82" s="45" t="s">
        <v>33</v>
      </c>
      <c r="F82" s="80" t="s">
        <v>185</v>
      </c>
      <c r="G82" s="46" t="s">
        <v>184</v>
      </c>
    </row>
    <row r="83" spans="1:7" ht="15">
      <c r="A83" s="38">
        <v>2</v>
      </c>
      <c r="B83" s="39">
        <v>42503</v>
      </c>
      <c r="C83" s="44" t="s">
        <v>7</v>
      </c>
      <c r="D83" s="44" t="s">
        <v>186</v>
      </c>
      <c r="E83" s="45" t="s">
        <v>48</v>
      </c>
      <c r="F83" s="80" t="s">
        <v>53</v>
      </c>
      <c r="G83" s="46" t="s">
        <v>187</v>
      </c>
    </row>
    <row r="84" spans="1:7" ht="11.25" customHeight="1">
      <c r="A84" s="38">
        <v>2</v>
      </c>
      <c r="B84" s="39">
        <v>42506</v>
      </c>
      <c r="C84" s="44" t="s">
        <v>188</v>
      </c>
      <c r="D84" s="44" t="s">
        <v>186</v>
      </c>
      <c r="E84" s="45" t="s">
        <v>172</v>
      </c>
      <c r="F84" s="80" t="s">
        <v>189</v>
      </c>
      <c r="G84" s="46" t="s">
        <v>190</v>
      </c>
    </row>
    <row r="85" spans="1:7" ht="30">
      <c r="A85" s="38">
        <v>2</v>
      </c>
      <c r="B85" s="39">
        <v>42535</v>
      </c>
      <c r="C85" s="44" t="s">
        <v>188</v>
      </c>
      <c r="D85" s="44" t="s">
        <v>100</v>
      </c>
      <c r="E85" s="45" t="s">
        <v>191</v>
      </c>
      <c r="F85" s="80" t="s">
        <v>192</v>
      </c>
      <c r="G85" s="46" t="s">
        <v>193</v>
      </c>
    </row>
    <row r="86" spans="1:7" ht="15">
      <c r="A86" s="38">
        <v>2</v>
      </c>
      <c r="B86" s="39">
        <v>42555</v>
      </c>
      <c r="C86" s="44" t="s">
        <v>7</v>
      </c>
      <c r="D86" s="44" t="s">
        <v>20</v>
      </c>
      <c r="E86" s="45" t="s">
        <v>121</v>
      </c>
      <c r="F86" s="80" t="s">
        <v>194</v>
      </c>
      <c r="G86" s="46" t="s">
        <v>195</v>
      </c>
    </row>
    <row r="87" spans="1:7" ht="21.75" customHeight="1">
      <c r="A87" s="38">
        <v>2</v>
      </c>
      <c r="B87" s="39">
        <v>42556</v>
      </c>
      <c r="C87" s="44" t="s">
        <v>105</v>
      </c>
      <c r="D87" s="44" t="s">
        <v>196</v>
      </c>
      <c r="E87" s="45" t="s">
        <v>197</v>
      </c>
      <c r="F87" s="45" t="s">
        <v>198</v>
      </c>
      <c r="G87" s="46" t="s">
        <v>199</v>
      </c>
    </row>
    <row r="88" spans="1:7" ht="30">
      <c r="A88" s="38">
        <v>2</v>
      </c>
      <c r="B88" s="39">
        <v>42565</v>
      </c>
      <c r="C88" s="44" t="s">
        <v>105</v>
      </c>
      <c r="D88" s="44" t="s">
        <v>200</v>
      </c>
      <c r="E88" s="45" t="s">
        <v>201</v>
      </c>
      <c r="F88" s="45" t="s">
        <v>202</v>
      </c>
      <c r="G88" s="46" t="s">
        <v>203</v>
      </c>
    </row>
    <row r="89" spans="1:7" ht="45">
      <c r="A89" s="38">
        <v>2</v>
      </c>
      <c r="B89" s="39">
        <v>42566</v>
      </c>
      <c r="C89" s="44" t="s">
        <v>7</v>
      </c>
      <c r="D89" s="44" t="s">
        <v>100</v>
      </c>
      <c r="E89" s="45" t="s">
        <v>33</v>
      </c>
      <c r="F89" s="45" t="s">
        <v>204</v>
      </c>
      <c r="G89" s="46" t="s">
        <v>205</v>
      </c>
    </row>
    <row r="90" spans="1:7" ht="15">
      <c r="A90" s="38">
        <v>2</v>
      </c>
      <c r="B90" s="39">
        <v>42578</v>
      </c>
      <c r="C90" s="44" t="s">
        <v>7</v>
      </c>
      <c r="D90" s="44" t="s">
        <v>100</v>
      </c>
      <c r="E90" s="45" t="s">
        <v>11</v>
      </c>
      <c r="F90" s="45" t="s">
        <v>206</v>
      </c>
      <c r="G90" s="46" t="s">
        <v>207</v>
      </c>
    </row>
    <row r="91" spans="1:7" ht="15">
      <c r="A91" s="38">
        <v>2</v>
      </c>
      <c r="B91" s="39">
        <v>42709</v>
      </c>
      <c r="C91" s="44" t="s">
        <v>7</v>
      </c>
      <c r="D91" s="44" t="s">
        <v>208</v>
      </c>
      <c r="E91" s="45" t="s">
        <v>15</v>
      </c>
      <c r="F91" s="45" t="s">
        <v>209</v>
      </c>
      <c r="G91" s="46" t="s">
        <v>210</v>
      </c>
    </row>
    <row r="92" spans="1:7" ht="15">
      <c r="A92" s="38">
        <v>2</v>
      </c>
      <c r="B92" s="39">
        <v>42709</v>
      </c>
      <c r="C92" s="44" t="s">
        <v>7</v>
      </c>
      <c r="D92" s="44" t="s">
        <v>208</v>
      </c>
      <c r="E92" s="45" t="s">
        <v>183</v>
      </c>
      <c r="F92" s="76" t="s">
        <v>211</v>
      </c>
      <c r="G92" s="46" t="s">
        <v>210</v>
      </c>
    </row>
    <row r="93" spans="1:7" ht="15">
      <c r="A93" s="38">
        <v>2</v>
      </c>
      <c r="B93" s="39">
        <v>42709</v>
      </c>
      <c r="C93" s="44" t="s">
        <v>7</v>
      </c>
      <c r="D93" s="44" t="s">
        <v>208</v>
      </c>
      <c r="E93" s="45" t="s">
        <v>15</v>
      </c>
      <c r="F93" s="76" t="s">
        <v>212</v>
      </c>
      <c r="G93" s="46" t="s">
        <v>213</v>
      </c>
    </row>
    <row r="94" spans="1:7" ht="15">
      <c r="A94" s="38">
        <v>2</v>
      </c>
      <c r="B94" s="39">
        <v>42709</v>
      </c>
      <c r="C94" s="44" t="s">
        <v>7</v>
      </c>
      <c r="D94" s="44" t="s">
        <v>208</v>
      </c>
      <c r="E94" s="45" t="s">
        <v>183</v>
      </c>
      <c r="F94" s="76" t="s">
        <v>214</v>
      </c>
      <c r="G94" s="46" t="s">
        <v>213</v>
      </c>
    </row>
    <row r="95" spans="1:7" ht="15">
      <c r="A95" s="38">
        <v>2</v>
      </c>
      <c r="B95" s="39">
        <v>42719</v>
      </c>
      <c r="C95" s="44" t="s">
        <v>7</v>
      </c>
      <c r="D95" s="44" t="s">
        <v>26</v>
      </c>
      <c r="E95" s="45" t="s">
        <v>121</v>
      </c>
      <c r="F95" s="76" t="s">
        <v>104</v>
      </c>
      <c r="G95" s="46" t="s">
        <v>215</v>
      </c>
    </row>
    <row r="96" spans="1:7" ht="22.5" customHeight="1">
      <c r="A96" s="38">
        <v>2</v>
      </c>
      <c r="B96" s="39">
        <v>42730</v>
      </c>
      <c r="C96" s="44" t="s">
        <v>188</v>
      </c>
      <c r="D96" s="44" t="s">
        <v>23</v>
      </c>
      <c r="E96" s="45" t="s">
        <v>197</v>
      </c>
      <c r="F96" s="45" t="s">
        <v>216</v>
      </c>
      <c r="G96" s="46" t="s">
        <v>217</v>
      </c>
    </row>
    <row r="97" spans="1:7" ht="22.5" customHeight="1">
      <c r="A97" s="38">
        <v>2</v>
      </c>
      <c r="B97" s="39">
        <v>42817</v>
      </c>
      <c r="C97" s="44" t="s">
        <v>188</v>
      </c>
      <c r="D97" s="44" t="s">
        <v>26</v>
      </c>
      <c r="E97" s="45" t="s">
        <v>218</v>
      </c>
      <c r="F97" s="45" t="s">
        <v>219</v>
      </c>
      <c r="G97" s="46" t="s">
        <v>220</v>
      </c>
    </row>
    <row r="98" spans="1:7" ht="30">
      <c r="A98" s="38">
        <v>2</v>
      </c>
      <c r="B98" s="39">
        <v>42830</v>
      </c>
      <c r="C98" s="44" t="s">
        <v>188</v>
      </c>
      <c r="D98" s="44" t="s">
        <v>26</v>
      </c>
      <c r="E98" s="45" t="s">
        <v>221</v>
      </c>
      <c r="F98" s="45" t="s">
        <v>222</v>
      </c>
      <c r="G98" s="46" t="s">
        <v>223</v>
      </c>
    </row>
    <row r="99" spans="1:7" ht="15">
      <c r="A99" s="38">
        <v>2</v>
      </c>
      <c r="B99" s="39">
        <v>42831</v>
      </c>
      <c r="C99" s="44" t="s">
        <v>7</v>
      </c>
      <c r="D99" s="44" t="s">
        <v>224</v>
      </c>
      <c r="E99" s="45" t="s">
        <v>218</v>
      </c>
      <c r="F99" s="45" t="s">
        <v>225</v>
      </c>
      <c r="G99" s="46" t="s">
        <v>226</v>
      </c>
    </row>
    <row r="100" spans="1:7" ht="15">
      <c r="A100" s="38">
        <v>2</v>
      </c>
      <c r="B100" s="39">
        <v>42866</v>
      </c>
      <c r="C100" s="44" t="s">
        <v>7</v>
      </c>
      <c r="D100" s="44" t="s">
        <v>125</v>
      </c>
      <c r="E100" s="45" t="s">
        <v>157</v>
      </c>
      <c r="F100" s="45"/>
      <c r="G100" s="46" t="s">
        <v>227</v>
      </c>
    </row>
    <row r="101" spans="1:7" ht="15">
      <c r="A101" s="38">
        <v>2</v>
      </c>
      <c r="B101" s="39">
        <v>42878</v>
      </c>
      <c r="C101" s="44" t="s">
        <v>7</v>
      </c>
      <c r="D101" s="44" t="s">
        <v>26</v>
      </c>
      <c r="E101" s="45" t="s">
        <v>121</v>
      </c>
      <c r="F101" s="80" t="s">
        <v>228</v>
      </c>
      <c r="G101" s="46" t="s">
        <v>229</v>
      </c>
    </row>
    <row r="102" spans="1:7" ht="11.25" customHeight="1">
      <c r="A102" s="38">
        <v>2</v>
      </c>
      <c r="B102" s="39">
        <v>42885</v>
      </c>
      <c r="C102" s="44" t="s">
        <v>7</v>
      </c>
      <c r="D102" s="44" t="s">
        <v>230</v>
      </c>
      <c r="E102" s="45" t="s">
        <v>121</v>
      </c>
      <c r="F102" s="80" t="s">
        <v>231</v>
      </c>
      <c r="G102" s="46" t="s">
        <v>232</v>
      </c>
    </row>
    <row r="103" spans="1:7" ht="11.25" customHeight="1">
      <c r="A103" s="38">
        <v>2</v>
      </c>
      <c r="B103" s="39">
        <v>42913</v>
      </c>
      <c r="C103" s="44" t="s">
        <v>105</v>
      </c>
      <c r="D103" s="44" t="s">
        <v>233</v>
      </c>
      <c r="E103" s="45" t="s">
        <v>234</v>
      </c>
      <c r="F103" s="45" t="s">
        <v>235</v>
      </c>
      <c r="G103" s="46" t="s">
        <v>236</v>
      </c>
    </row>
    <row r="104" spans="1:7" ht="11.25" customHeight="1">
      <c r="A104" s="38">
        <v>2</v>
      </c>
      <c r="B104" s="39">
        <v>42913</v>
      </c>
      <c r="C104" s="44" t="s">
        <v>105</v>
      </c>
      <c r="D104" s="44" t="s">
        <v>233</v>
      </c>
      <c r="E104" s="45" t="s">
        <v>151</v>
      </c>
      <c r="F104" s="45" t="s">
        <v>237</v>
      </c>
      <c r="G104" s="46" t="s">
        <v>236</v>
      </c>
    </row>
    <row r="105" spans="1:7" ht="11.25" customHeight="1">
      <c r="A105" s="38">
        <v>2</v>
      </c>
      <c r="B105" s="39">
        <v>42919</v>
      </c>
      <c r="C105" s="44" t="s">
        <v>105</v>
      </c>
      <c r="D105" s="44" t="s">
        <v>106</v>
      </c>
      <c r="E105" s="45" t="s">
        <v>234</v>
      </c>
      <c r="F105" s="80" t="s">
        <v>238</v>
      </c>
      <c r="G105" s="46" t="s">
        <v>239</v>
      </c>
    </row>
    <row r="106" spans="1:7" ht="11.25" customHeight="1">
      <c r="A106" s="38">
        <v>2</v>
      </c>
      <c r="B106" s="39">
        <v>42919</v>
      </c>
      <c r="C106" s="44" t="s">
        <v>105</v>
      </c>
      <c r="D106" s="44" t="s">
        <v>106</v>
      </c>
      <c r="E106" s="45" t="s">
        <v>151</v>
      </c>
      <c r="F106" s="45" t="s">
        <v>240</v>
      </c>
      <c r="G106" s="46" t="s">
        <v>239</v>
      </c>
    </row>
    <row r="107" spans="1:7" ht="11.25" customHeight="1">
      <c r="A107" s="38">
        <v>2</v>
      </c>
      <c r="B107" s="39">
        <v>42919</v>
      </c>
      <c r="C107" s="44" t="s">
        <v>105</v>
      </c>
      <c r="D107" s="44" t="s">
        <v>106</v>
      </c>
      <c r="E107" s="45" t="s">
        <v>241</v>
      </c>
      <c r="F107" s="45"/>
      <c r="G107" s="46" t="s">
        <v>242</v>
      </c>
    </row>
    <row r="108" spans="1:7" ht="11.25" customHeight="1">
      <c r="A108" s="38">
        <v>2</v>
      </c>
      <c r="B108" s="39">
        <v>42928</v>
      </c>
      <c r="C108" s="44" t="s">
        <v>105</v>
      </c>
      <c r="D108" s="44" t="s">
        <v>243</v>
      </c>
      <c r="E108" s="45" t="s">
        <v>234</v>
      </c>
      <c r="F108" s="45" t="s">
        <v>244</v>
      </c>
      <c r="G108" s="46" t="s">
        <v>245</v>
      </c>
    </row>
    <row r="109" spans="1:7" ht="11.25" customHeight="1">
      <c r="A109" s="38">
        <v>2</v>
      </c>
      <c r="B109" s="39">
        <v>42928</v>
      </c>
      <c r="C109" s="44" t="s">
        <v>105</v>
      </c>
      <c r="D109" s="44" t="s">
        <v>243</v>
      </c>
      <c r="E109" s="45" t="s">
        <v>151</v>
      </c>
      <c r="F109" s="45" t="s">
        <v>246</v>
      </c>
      <c r="G109" s="46" t="s">
        <v>245</v>
      </c>
    </row>
    <row r="110" spans="1:7" ht="11.25" customHeight="1">
      <c r="A110" s="38">
        <v>2</v>
      </c>
      <c r="B110" s="39">
        <v>42983</v>
      </c>
      <c r="C110" s="44" t="s">
        <v>105</v>
      </c>
      <c r="D110" s="44" t="s">
        <v>196</v>
      </c>
      <c r="E110" s="45" t="s">
        <v>247</v>
      </c>
      <c r="F110" s="45"/>
      <c r="G110" s="46" t="s">
        <v>242</v>
      </c>
    </row>
    <row r="111" spans="1:7" ht="11.25" customHeight="1">
      <c r="A111" s="38">
        <v>2</v>
      </c>
      <c r="B111" s="39">
        <v>43025</v>
      </c>
      <c r="C111" s="44" t="s">
        <v>105</v>
      </c>
      <c r="D111" s="44" t="s">
        <v>248</v>
      </c>
      <c r="E111" s="45" t="s">
        <v>30</v>
      </c>
      <c r="F111" s="76" t="s">
        <v>249</v>
      </c>
      <c r="G111" s="46" t="s">
        <v>250</v>
      </c>
    </row>
    <row r="112" spans="1:7" ht="11.25" customHeight="1">
      <c r="A112" s="38">
        <v>2</v>
      </c>
      <c r="B112" s="39">
        <v>43605</v>
      </c>
      <c r="C112" s="44" t="s">
        <v>188</v>
      </c>
      <c r="D112" s="44" t="s">
        <v>251</v>
      </c>
      <c r="E112" s="45" t="s">
        <v>252</v>
      </c>
      <c r="F112" s="76" t="s">
        <v>253</v>
      </c>
      <c r="G112" s="46" t="s">
        <v>254</v>
      </c>
    </row>
    <row r="113" spans="1:7" ht="11.25" customHeight="1">
      <c r="A113" s="38">
        <v>2</v>
      </c>
      <c r="B113" s="39">
        <v>43804</v>
      </c>
      <c r="C113" s="44" t="s">
        <v>188</v>
      </c>
      <c r="D113" s="44" t="s">
        <v>14</v>
      </c>
      <c r="E113" s="45" t="s">
        <v>172</v>
      </c>
      <c r="F113" s="303" t="s">
        <v>143</v>
      </c>
      <c r="G113" s="46" t="s">
        <v>255</v>
      </c>
    </row>
    <row r="114" spans="1:7" ht="11.25" customHeight="1">
      <c r="A114" s="38">
        <v>2</v>
      </c>
      <c r="B114" s="39">
        <v>44468</v>
      </c>
      <c r="C114" s="44" t="s">
        <v>188</v>
      </c>
      <c r="D114" s="44" t="s">
        <v>91</v>
      </c>
      <c r="E114" s="45" t="s">
        <v>172</v>
      </c>
      <c r="F114" s="303" t="s">
        <v>143</v>
      </c>
      <c r="G114" s="46" t="s">
        <v>256</v>
      </c>
    </row>
    <row r="115" spans="1:7" ht="11.25" customHeight="1">
      <c r="A115" s="38">
        <v>2</v>
      </c>
      <c r="B115" s="39">
        <v>44468</v>
      </c>
      <c r="C115" s="44" t="s">
        <v>188</v>
      </c>
      <c r="D115" s="44" t="s">
        <v>91</v>
      </c>
      <c r="E115" s="45" t="s">
        <v>48</v>
      </c>
      <c r="F115" s="303" t="s">
        <v>209</v>
      </c>
      <c r="G115" s="46" t="s">
        <v>256</v>
      </c>
    </row>
    <row r="116" spans="1:7" ht="11.25" customHeight="1">
      <c r="A116" s="38">
        <v>2</v>
      </c>
      <c r="B116" s="39">
        <v>44592</v>
      </c>
      <c r="C116" s="44" t="s">
        <v>188</v>
      </c>
      <c r="D116" s="44" t="s">
        <v>257</v>
      </c>
      <c r="E116" s="45" t="s">
        <v>48</v>
      </c>
      <c r="F116" s="303" t="s">
        <v>258</v>
      </c>
      <c r="G116" s="46" t="s">
        <v>259</v>
      </c>
    </row>
    <row r="117" spans="1:7" ht="105">
      <c r="A117" s="38">
        <v>2</v>
      </c>
      <c r="B117" s="39">
        <v>44670</v>
      </c>
      <c r="C117" s="44" t="s">
        <v>7</v>
      </c>
      <c r="D117" s="44" t="s">
        <v>260</v>
      </c>
      <c r="E117" s="45" t="s">
        <v>261</v>
      </c>
      <c r="F117" s="303" t="s">
        <v>262</v>
      </c>
      <c r="G117" s="46" t="s">
        <v>263</v>
      </c>
    </row>
    <row r="118" spans="1:7" ht="11.25" customHeight="1">
      <c r="A118" s="38">
        <v>2</v>
      </c>
      <c r="B118" s="39">
        <v>44834</v>
      </c>
      <c r="C118" s="44" t="s">
        <v>105</v>
      </c>
      <c r="D118" s="44" t="s">
        <v>233</v>
      </c>
      <c r="E118" s="45" t="s">
        <v>38</v>
      </c>
      <c r="F118" s="303" t="s">
        <v>264</v>
      </c>
      <c r="G118" s="46" t="s">
        <v>265</v>
      </c>
    </row>
    <row r="119" spans="1:7" ht="25.25" customHeight="1">
      <c r="A119" s="38">
        <v>2</v>
      </c>
      <c r="B119" s="39">
        <v>44971</v>
      </c>
      <c r="C119" s="44" t="s">
        <v>266</v>
      </c>
      <c r="D119" s="44" t="s">
        <v>267</v>
      </c>
      <c r="E119" s="45" t="s">
        <v>165</v>
      </c>
      <c r="F119" s="303" t="s">
        <v>268</v>
      </c>
      <c r="G119" s="46" t="s">
        <v>269</v>
      </c>
    </row>
    <row r="120" spans="1:7" ht="25.25" customHeight="1">
      <c r="A120" s="38">
        <v>2</v>
      </c>
      <c r="B120" s="39">
        <v>44971</v>
      </c>
      <c r="C120" s="44" t="s">
        <v>266</v>
      </c>
      <c r="D120" s="44" t="s">
        <v>270</v>
      </c>
      <c r="E120" s="45" t="s">
        <v>149</v>
      </c>
      <c r="F120" s="303" t="s">
        <v>271</v>
      </c>
      <c r="G120" s="46" t="s">
        <v>272</v>
      </c>
    </row>
    <row r="121" spans="1:7" ht="25.25" customHeight="1">
      <c r="A121" s="38">
        <v>2</v>
      </c>
      <c r="B121" s="39">
        <v>44971</v>
      </c>
      <c r="C121" s="44" t="s">
        <v>266</v>
      </c>
      <c r="D121" s="44" t="s">
        <v>270</v>
      </c>
      <c r="E121" s="45" t="s">
        <v>273</v>
      </c>
      <c r="F121" s="303" t="s">
        <v>274</v>
      </c>
      <c r="G121" s="46" t="s">
        <v>272</v>
      </c>
    </row>
    <row r="122" spans="1:7" ht="25.25" customHeight="1">
      <c r="A122" s="322">
        <v>2</v>
      </c>
      <c r="B122" s="323">
        <v>45197</v>
      </c>
      <c r="C122" s="324" t="s">
        <v>105</v>
      </c>
      <c r="D122" s="324" t="s">
        <v>275</v>
      </c>
      <c r="E122" s="325" t="s">
        <v>234</v>
      </c>
      <c r="F122" s="326" t="s">
        <v>276</v>
      </c>
      <c r="G122" s="327" t="s">
        <v>277</v>
      </c>
    </row>
    <row r="123" spans="1:7" ht="90">
      <c r="A123" s="38">
        <v>3</v>
      </c>
      <c r="B123" s="39">
        <v>45722</v>
      </c>
      <c r="C123" s="44" t="s">
        <v>266</v>
      </c>
      <c r="D123" s="44" t="s">
        <v>1563</v>
      </c>
      <c r="E123" s="45" t="s">
        <v>1564</v>
      </c>
      <c r="F123" s="303"/>
      <c r="G123" s="46" t="s">
        <v>1565</v>
      </c>
    </row>
    <row r="124" spans="1:7" ht="25.25" customHeight="1">
      <c r="A124" s="38">
        <v>3</v>
      </c>
      <c r="B124" s="39">
        <v>45726</v>
      </c>
      <c r="C124" s="44" t="s">
        <v>105</v>
      </c>
      <c r="D124" s="44" t="s">
        <v>233</v>
      </c>
      <c r="E124" s="45" t="s">
        <v>1569</v>
      </c>
      <c r="F124" s="303" t="s">
        <v>111</v>
      </c>
      <c r="G124" s="46" t="s">
        <v>1568</v>
      </c>
    </row>
    <row r="125" spans="1:7" ht="60">
      <c r="A125" s="308">
        <v>3</v>
      </c>
      <c r="B125" s="309">
        <v>45821</v>
      </c>
      <c r="C125" s="310" t="s">
        <v>105</v>
      </c>
      <c r="D125" s="310" t="s">
        <v>275</v>
      </c>
      <c r="E125" s="311" t="s">
        <v>1569</v>
      </c>
      <c r="F125" s="312" t="s">
        <v>1570</v>
      </c>
      <c r="G125" s="313" t="s">
        <v>1598</v>
      </c>
    </row>
    <row r="126" spans="1:7" ht="11.25" customHeight="1">
      <c r="A126" s="47"/>
      <c r="B126" s="48"/>
      <c r="C126" s="47"/>
      <c r="D126" s="47"/>
      <c r="G126" s="51"/>
    </row>
    <row r="127" spans="1:7" ht="11.25" customHeight="1">
      <c r="A127" s="47"/>
      <c r="B127" s="48"/>
      <c r="C127" s="47"/>
      <c r="D127" s="47"/>
      <c r="G127" s="51"/>
    </row>
    <row r="128" spans="1:7" ht="11.25" customHeight="1">
      <c r="A128" s="47"/>
      <c r="B128" s="48"/>
      <c r="C128" s="47"/>
      <c r="D128" s="47"/>
      <c r="G128" s="51"/>
    </row>
    <row r="129" spans="1:7" ht="11.25" customHeight="1">
      <c r="A129" s="47"/>
      <c r="B129" s="48"/>
      <c r="C129" s="47"/>
      <c r="D129" s="47"/>
      <c r="G129" s="50"/>
    </row>
    <row r="130" spans="1:7" ht="11.25" customHeight="1">
      <c r="A130" s="47"/>
      <c r="B130" s="48"/>
      <c r="C130" s="47"/>
      <c r="D130" s="47"/>
      <c r="G130" s="50"/>
    </row>
    <row r="131" spans="1:7" ht="11.25" customHeight="1">
      <c r="A131" s="47"/>
      <c r="B131" s="48"/>
      <c r="C131" s="47"/>
      <c r="D131" s="47"/>
      <c r="G131" s="50"/>
    </row>
    <row r="132" spans="1:7" ht="11.25" customHeight="1">
      <c r="A132" s="47"/>
      <c r="B132" s="48"/>
      <c r="C132" s="47"/>
      <c r="D132" s="47"/>
    </row>
    <row r="133" spans="1:7" ht="11.25" customHeight="1">
      <c r="A133" s="47"/>
      <c r="B133" s="48"/>
      <c r="C133" s="47"/>
      <c r="D133" s="47"/>
    </row>
    <row r="134" spans="1:7" ht="11.25" customHeight="1">
      <c r="A134" s="47"/>
      <c r="B134" s="48"/>
      <c r="C134" s="47"/>
      <c r="D134" s="47"/>
      <c r="G134" s="52"/>
    </row>
    <row r="135" spans="1:7" ht="11.25" customHeight="1">
      <c r="A135" s="47"/>
      <c r="B135" s="48"/>
      <c r="C135" s="47"/>
      <c r="D135" s="47"/>
      <c r="G135" s="52"/>
    </row>
    <row r="136" spans="1:7" ht="11.25" customHeight="1">
      <c r="A136" s="47"/>
      <c r="B136" s="48"/>
      <c r="C136" s="47"/>
      <c r="D136" s="47"/>
      <c r="G136" s="52"/>
    </row>
    <row r="137" spans="1:7" ht="11.25" customHeight="1">
      <c r="A137" s="47"/>
      <c r="B137" s="48"/>
      <c r="C137" s="47"/>
      <c r="D137" s="47"/>
    </row>
    <row r="138" spans="1:7" ht="11.25" customHeight="1">
      <c r="A138" s="47"/>
      <c r="B138" s="48"/>
      <c r="C138" s="47"/>
      <c r="D138" s="47"/>
    </row>
    <row r="139" spans="1:7" ht="11.25" customHeight="1">
      <c r="A139" s="47"/>
      <c r="B139" s="48"/>
      <c r="C139" s="47"/>
      <c r="D139" s="47"/>
    </row>
    <row r="140" spans="1:7" ht="11.25" customHeight="1">
      <c r="A140" s="47"/>
      <c r="B140" s="48"/>
      <c r="C140" s="47"/>
      <c r="D140" s="47"/>
    </row>
    <row r="141" spans="1:7" ht="11.25" customHeight="1">
      <c r="A141" s="47"/>
      <c r="B141" s="48"/>
      <c r="C141" s="47"/>
      <c r="D141" s="47"/>
    </row>
    <row r="142" spans="1:7" ht="11.25" customHeight="1">
      <c r="A142" s="47"/>
      <c r="B142" s="48"/>
      <c r="C142" s="47"/>
      <c r="D142" s="47"/>
    </row>
    <row r="143" spans="1:7" ht="11.25" customHeight="1">
      <c r="A143" s="47"/>
      <c r="B143" s="48"/>
      <c r="C143" s="47"/>
      <c r="D143" s="47"/>
    </row>
    <row r="144" spans="1:7" ht="11.25" customHeight="1">
      <c r="A144" s="47"/>
      <c r="B144" s="48"/>
      <c r="D144" s="47"/>
    </row>
    <row r="145" spans="1:9" ht="11.25" customHeight="1">
      <c r="A145" s="47"/>
      <c r="B145" s="48"/>
      <c r="D145" s="47"/>
    </row>
    <row r="146" spans="1:9" s="53" customFormat="1" ht="11.25" customHeight="1">
      <c r="A146" s="47"/>
      <c r="B146" s="48"/>
      <c r="C146" s="47"/>
      <c r="D146" s="47"/>
      <c r="E146" s="49"/>
      <c r="F146" s="49"/>
      <c r="G146" s="50"/>
      <c r="H146" s="34"/>
      <c r="I146" s="34"/>
    </row>
    <row r="147" spans="1:9" ht="11.25" customHeight="1">
      <c r="A147" s="47"/>
      <c r="B147" s="48"/>
      <c r="C147" s="47"/>
      <c r="D147" s="47"/>
      <c r="F147" s="54"/>
      <c r="G147" s="51"/>
      <c r="H147" s="53"/>
      <c r="I147" s="53"/>
    </row>
    <row r="148" spans="1:9" ht="11.25" customHeight="1">
      <c r="A148" s="47"/>
      <c r="B148" s="48"/>
      <c r="C148" s="47"/>
      <c r="D148" s="47"/>
      <c r="F148" s="54"/>
      <c r="G148" s="51"/>
    </row>
    <row r="149" spans="1:9" ht="11.25" customHeight="1">
      <c r="A149" s="47"/>
      <c r="B149" s="48"/>
      <c r="C149" s="47"/>
      <c r="D149" s="47"/>
      <c r="F149" s="55"/>
      <c r="G149" s="51"/>
    </row>
    <row r="150" spans="1:9" ht="11.25" customHeight="1">
      <c r="A150" s="47"/>
      <c r="B150" s="48"/>
      <c r="C150" s="47"/>
      <c r="D150" s="47"/>
      <c r="F150" s="55"/>
      <c r="G150" s="51"/>
    </row>
    <row r="151" spans="1:9" ht="11.25" customHeight="1">
      <c r="A151" s="47"/>
      <c r="B151" s="48"/>
      <c r="C151" s="47"/>
      <c r="D151" s="47"/>
      <c r="F151" s="47"/>
      <c r="G151" s="51"/>
    </row>
    <row r="152" spans="1:9" ht="11.25" customHeight="1">
      <c r="A152" s="47"/>
      <c r="B152" s="48"/>
      <c r="C152" s="47"/>
      <c r="D152" s="47"/>
      <c r="F152" s="47"/>
      <c r="G152" s="51"/>
    </row>
    <row r="153" spans="1:9" ht="11.25" customHeight="1">
      <c r="A153" s="47"/>
      <c r="B153" s="48"/>
      <c r="C153" s="47"/>
      <c r="D153" s="47"/>
      <c r="F153" s="47"/>
      <c r="G153" s="51"/>
    </row>
    <row r="154" spans="1:9" ht="11.25" customHeight="1">
      <c r="A154" s="47"/>
      <c r="B154" s="48"/>
      <c r="C154" s="47"/>
      <c r="D154" s="47"/>
      <c r="F154" s="47"/>
      <c r="G154" s="51"/>
    </row>
    <row r="155" spans="1:9" ht="11.25" customHeight="1">
      <c r="A155" s="47"/>
      <c r="B155" s="48"/>
      <c r="C155" s="47"/>
      <c r="D155" s="47"/>
      <c r="F155" s="47"/>
      <c r="G155" s="51"/>
    </row>
    <row r="156" spans="1:9" ht="11.25" customHeight="1">
      <c r="A156" s="47"/>
      <c r="B156" s="48"/>
      <c r="C156" s="47"/>
      <c r="D156" s="47"/>
      <c r="F156" s="47"/>
      <c r="G156" s="51"/>
    </row>
    <row r="157" spans="1:9" ht="11.25" customHeight="1">
      <c r="A157" s="47"/>
      <c r="B157" s="48"/>
      <c r="G157" s="50"/>
    </row>
    <row r="158" spans="1:9" ht="11.25" customHeight="1">
      <c r="A158" s="47"/>
      <c r="B158" s="48"/>
      <c r="G158" s="50"/>
    </row>
    <row r="159" spans="1:9" ht="11.25" customHeight="1">
      <c r="A159" s="47"/>
      <c r="B159" s="48"/>
      <c r="G159" s="50"/>
    </row>
    <row r="160" spans="1:9" ht="11.25" customHeight="1">
      <c r="A160" s="47"/>
      <c r="B160" s="48"/>
    </row>
    <row r="161" spans="1:7" ht="11.25" customHeight="1">
      <c r="A161" s="55"/>
      <c r="B161" s="48"/>
      <c r="D161" s="55"/>
      <c r="F161" s="47"/>
    </row>
    <row r="162" spans="1:7" ht="11.25" customHeight="1">
      <c r="A162" s="55"/>
      <c r="B162" s="48"/>
      <c r="D162" s="47"/>
      <c r="G162" s="50"/>
    </row>
    <row r="163" spans="1:7" ht="11.25" customHeight="1">
      <c r="A163" s="55"/>
      <c r="B163" s="48"/>
      <c r="D163" s="47"/>
      <c r="G163" s="50"/>
    </row>
    <row r="164" spans="1:7" ht="11.25" customHeight="1">
      <c r="A164" s="55"/>
      <c r="B164" s="56"/>
      <c r="C164" s="55"/>
      <c r="D164" s="55"/>
    </row>
    <row r="165" spans="1:7" ht="11.25" customHeight="1">
      <c r="A165" s="55"/>
      <c r="B165" s="56"/>
      <c r="C165" s="55"/>
      <c r="D165" s="55"/>
    </row>
    <row r="166" spans="1:7" ht="11.25" customHeight="1">
      <c r="A166" s="55"/>
      <c r="B166" s="56"/>
      <c r="C166" s="55"/>
      <c r="D166" s="55"/>
      <c r="E166" s="55"/>
      <c r="F166" s="55"/>
    </row>
    <row r="167" spans="1:7" s="49" customFormat="1" ht="11.25" customHeight="1">
      <c r="A167" s="55"/>
      <c r="B167" s="56"/>
      <c r="C167" s="55"/>
      <c r="D167" s="55"/>
      <c r="G167" s="34"/>
    </row>
    <row r="168" spans="1:7" ht="11.25" customHeight="1">
      <c r="A168" s="55"/>
      <c r="B168" s="56"/>
      <c r="C168" s="47"/>
      <c r="D168" s="55"/>
      <c r="F168" s="55"/>
      <c r="G168" s="53"/>
    </row>
    <row r="169" spans="1:7" ht="11.25" customHeight="1">
      <c r="A169" s="55"/>
      <c r="B169" s="56"/>
      <c r="C169" s="47"/>
      <c r="D169" s="55"/>
      <c r="F169" s="55"/>
      <c r="G169" s="53"/>
    </row>
    <row r="170" spans="1:7" ht="11.25" customHeight="1">
      <c r="A170" s="55"/>
      <c r="B170" s="56"/>
      <c r="C170" s="55"/>
      <c r="D170" s="55"/>
      <c r="G170" s="57"/>
    </row>
    <row r="171" spans="1:7" ht="11.25" customHeight="1">
      <c r="A171" s="55"/>
      <c r="B171" s="56"/>
      <c r="C171" s="55"/>
      <c r="D171" s="55"/>
      <c r="G171" s="57"/>
    </row>
    <row r="172" spans="1:7" ht="11.25" customHeight="1">
      <c r="A172" s="55"/>
      <c r="B172" s="56"/>
      <c r="C172" s="55"/>
      <c r="D172" s="55"/>
      <c r="G172" s="53"/>
    </row>
    <row r="173" spans="1:7" ht="11.25" customHeight="1">
      <c r="A173" s="55"/>
      <c r="B173" s="56"/>
      <c r="C173" s="55"/>
      <c r="D173" s="55"/>
      <c r="G173" s="58"/>
    </row>
    <row r="174" spans="1:7" ht="11.25" customHeight="1">
      <c r="A174" s="55"/>
      <c r="B174" s="56"/>
      <c r="C174" s="55"/>
      <c r="D174" s="55"/>
      <c r="G174" s="58"/>
    </row>
    <row r="175" spans="1:7" ht="11.25" customHeight="1">
      <c r="A175" s="55"/>
      <c r="B175" s="56"/>
      <c r="C175" s="55"/>
      <c r="D175" s="55"/>
      <c r="G175" s="58"/>
    </row>
    <row r="176" spans="1:7" ht="11.25" customHeight="1">
      <c r="A176" s="55"/>
      <c r="B176" s="56"/>
      <c r="C176" s="55"/>
      <c r="D176" s="55"/>
      <c r="G176" s="58"/>
    </row>
    <row r="177" spans="1:7" ht="11.25" customHeight="1">
      <c r="A177" s="55"/>
      <c r="B177" s="56"/>
      <c r="C177" s="55"/>
      <c r="D177" s="55"/>
      <c r="G177" s="58"/>
    </row>
    <row r="178" spans="1:7" ht="11.25" customHeight="1">
      <c r="A178" s="55"/>
      <c r="B178" s="56"/>
      <c r="C178" s="55"/>
      <c r="D178" s="55"/>
      <c r="G178" s="58"/>
    </row>
    <row r="179" spans="1:7" ht="11.25" customHeight="1">
      <c r="A179" s="55"/>
      <c r="B179" s="56"/>
      <c r="C179" s="55"/>
      <c r="D179" s="55"/>
      <c r="G179" s="58"/>
    </row>
    <row r="180" spans="1:7" ht="11.25" customHeight="1">
      <c r="A180" s="55"/>
      <c r="B180" s="56"/>
      <c r="C180" s="55"/>
      <c r="D180" s="55"/>
      <c r="G180" s="58"/>
    </row>
    <row r="181" spans="1:7" ht="11.25" customHeight="1">
      <c r="A181" s="55"/>
      <c r="B181" s="56"/>
      <c r="C181" s="55"/>
      <c r="D181" s="55"/>
      <c r="E181" s="55"/>
      <c r="G181" s="57"/>
    </row>
    <row r="182" spans="1:7" ht="11.25" customHeight="1">
      <c r="A182" s="55"/>
      <c r="B182" s="56"/>
      <c r="C182" s="55"/>
      <c r="D182" s="55"/>
      <c r="G182" s="57"/>
    </row>
    <row r="183" spans="1:7" ht="11.25" customHeight="1">
      <c r="A183" s="55"/>
      <c r="B183" s="56"/>
      <c r="C183" s="55"/>
      <c r="D183" s="55"/>
      <c r="G183" s="57"/>
    </row>
    <row r="184" spans="1:7" ht="11.25" customHeight="1">
      <c r="A184" s="55"/>
      <c r="B184" s="56"/>
      <c r="C184" s="55"/>
      <c r="D184" s="55"/>
      <c r="G184" s="57"/>
    </row>
    <row r="185" spans="1:7" ht="11.25" customHeight="1">
      <c r="A185" s="55"/>
      <c r="B185" s="56"/>
      <c r="C185" s="55"/>
      <c r="D185" s="55"/>
      <c r="G185" s="57"/>
    </row>
    <row r="186" spans="1:7" ht="11.25" customHeight="1">
      <c r="A186" s="55"/>
      <c r="B186" s="56"/>
      <c r="C186" s="55"/>
      <c r="D186" s="55"/>
      <c r="G186" s="57"/>
    </row>
    <row r="187" spans="1:7" ht="11.25" customHeight="1">
      <c r="A187" s="55"/>
      <c r="B187" s="56"/>
      <c r="C187" s="55"/>
      <c r="D187" s="55"/>
      <c r="E187" s="55"/>
      <c r="F187" s="55"/>
      <c r="G187" s="57"/>
    </row>
    <row r="188" spans="1:7" ht="11.25" customHeight="1">
      <c r="A188" s="55"/>
      <c r="B188" s="56"/>
      <c r="C188" s="47"/>
      <c r="D188" s="47"/>
      <c r="F188" s="47"/>
    </row>
    <row r="189" spans="1:7" ht="11.25" customHeight="1">
      <c r="A189" s="55"/>
      <c r="B189" s="56"/>
      <c r="C189" s="47"/>
      <c r="D189" s="47"/>
      <c r="F189" s="47"/>
    </row>
    <row r="190" spans="1:7" ht="11.25" customHeight="1">
      <c r="A190" s="55"/>
      <c r="B190" s="56"/>
      <c r="C190" s="47"/>
      <c r="D190" s="47"/>
      <c r="F190" s="47"/>
    </row>
    <row r="191" spans="1:7" ht="11.25" customHeight="1">
      <c r="A191" s="55"/>
      <c r="B191" s="56"/>
      <c r="C191" s="47"/>
      <c r="D191" s="47"/>
      <c r="F191" s="47"/>
    </row>
    <row r="192" spans="1:7" ht="11.25" customHeight="1">
      <c r="A192" s="55"/>
      <c r="B192" s="56"/>
      <c r="C192" s="47"/>
      <c r="D192" s="47"/>
      <c r="F192" s="47"/>
    </row>
    <row r="193" spans="1:7" ht="11.25" customHeight="1">
      <c r="A193" s="55"/>
      <c r="B193" s="56"/>
      <c r="C193" s="47"/>
      <c r="D193" s="47"/>
      <c r="F193" s="47"/>
    </row>
    <row r="194" spans="1:7" ht="11.25" customHeight="1">
      <c r="A194" s="55"/>
      <c r="B194" s="56"/>
      <c r="C194" s="47"/>
      <c r="D194" s="47"/>
      <c r="F194" s="47"/>
      <c r="G194" s="59"/>
    </row>
    <row r="195" spans="1:7" ht="11.25" customHeight="1">
      <c r="A195" s="55"/>
      <c r="B195" s="56"/>
      <c r="C195" s="47"/>
      <c r="D195" s="47"/>
      <c r="F195" s="47"/>
    </row>
    <row r="196" spans="1:7" ht="11.25" customHeight="1">
      <c r="A196" s="55"/>
      <c r="B196" s="56"/>
      <c r="C196" s="47"/>
      <c r="D196" s="47"/>
      <c r="F196" s="47"/>
    </row>
    <row r="197" spans="1:7" ht="11.25" customHeight="1">
      <c r="A197" s="55"/>
      <c r="B197" s="56"/>
      <c r="C197" s="47"/>
      <c r="D197" s="47"/>
      <c r="F197" s="47"/>
    </row>
    <row r="198" spans="1:7" ht="11.25" customHeight="1">
      <c r="A198" s="60"/>
      <c r="B198" s="56"/>
      <c r="C198" s="55"/>
      <c r="D198" s="55"/>
      <c r="E198" s="55"/>
      <c r="F198" s="55"/>
      <c r="G198" s="58"/>
    </row>
    <row r="199" spans="1:7" ht="11.25" customHeight="1">
      <c r="A199" s="60"/>
      <c r="B199" s="56"/>
      <c r="C199" s="55"/>
      <c r="D199" s="55"/>
      <c r="G199" s="58"/>
    </row>
    <row r="200" spans="1:7" ht="11.25" customHeight="1">
      <c r="A200" s="60"/>
      <c r="B200" s="56"/>
      <c r="C200" s="55"/>
      <c r="D200" s="55"/>
      <c r="E200" s="55"/>
      <c r="G200" s="58"/>
    </row>
    <row r="201" spans="1:7" ht="11.25" customHeight="1">
      <c r="A201" s="60"/>
      <c r="B201" s="56"/>
      <c r="C201" s="55"/>
      <c r="D201" s="55"/>
      <c r="E201" s="55"/>
      <c r="G201" s="58"/>
    </row>
    <row r="202" spans="1:7" ht="11.25" customHeight="1">
      <c r="A202" s="60"/>
      <c r="B202" s="56"/>
      <c r="C202" s="55"/>
      <c r="D202" s="55"/>
      <c r="E202" s="55"/>
      <c r="G202" s="58"/>
    </row>
    <row r="203" spans="1:7" ht="11.25" customHeight="1">
      <c r="A203" s="60"/>
      <c r="B203" s="56"/>
      <c r="C203" s="55"/>
      <c r="D203" s="55"/>
      <c r="E203" s="55"/>
      <c r="G203" s="58"/>
    </row>
    <row r="204" spans="1:7" ht="11.25" customHeight="1">
      <c r="A204" s="60"/>
      <c r="B204" s="56"/>
      <c r="C204" s="55"/>
      <c r="D204" s="55"/>
      <c r="E204" s="55"/>
      <c r="G204" s="58"/>
    </row>
    <row r="205" spans="1:7" ht="11.25" customHeight="1">
      <c r="A205" s="60"/>
      <c r="B205" s="56"/>
      <c r="C205" s="55"/>
      <c r="D205" s="55"/>
      <c r="E205" s="55"/>
      <c r="G205" s="58"/>
    </row>
    <row r="206" spans="1:7" ht="11.25" customHeight="1">
      <c r="A206" s="60"/>
      <c r="B206" s="56"/>
      <c r="C206" s="55"/>
      <c r="D206" s="55"/>
      <c r="E206" s="55"/>
      <c r="G206" s="58"/>
    </row>
    <row r="207" spans="1:7" ht="11.25" customHeight="1">
      <c r="A207" s="60"/>
      <c r="B207" s="56"/>
      <c r="C207" s="55"/>
      <c r="D207" s="55"/>
      <c r="E207" s="55"/>
      <c r="G207" s="58"/>
    </row>
    <row r="208" spans="1:7" ht="11.25" customHeight="1">
      <c r="A208" s="60"/>
      <c r="B208" s="56"/>
      <c r="C208" s="55"/>
      <c r="D208" s="55"/>
      <c r="F208" s="55"/>
      <c r="G208" s="58"/>
    </row>
    <row r="209" spans="1:7" ht="11.25" customHeight="1">
      <c r="A209" s="60"/>
      <c r="B209" s="56"/>
      <c r="C209" s="55"/>
      <c r="D209" s="55"/>
      <c r="F209" s="55"/>
      <c r="G209" s="58"/>
    </row>
    <row r="210" spans="1:7" ht="11.25" customHeight="1">
      <c r="A210" s="60"/>
      <c r="B210" s="56"/>
      <c r="C210" s="55"/>
      <c r="D210" s="55"/>
      <c r="F210" s="55"/>
      <c r="G210" s="58"/>
    </row>
    <row r="211" spans="1:7" ht="11.25" customHeight="1">
      <c r="A211" s="60"/>
      <c r="B211" s="56"/>
      <c r="C211" s="55"/>
      <c r="D211" s="55"/>
      <c r="F211" s="55"/>
      <c r="G211" s="58"/>
    </row>
    <row r="212" spans="1:7" ht="11.25" customHeight="1">
      <c r="A212" s="60"/>
      <c r="B212" s="56"/>
      <c r="C212" s="55"/>
      <c r="D212" s="55"/>
      <c r="F212" s="55"/>
      <c r="G212" s="58"/>
    </row>
    <row r="213" spans="1:7" ht="11.25" customHeight="1">
      <c r="A213" s="60"/>
      <c r="B213" s="56"/>
      <c r="C213" s="55"/>
      <c r="D213" s="55"/>
      <c r="F213" s="55"/>
      <c r="G213" s="58"/>
    </row>
    <row r="214" spans="1:7" ht="11.25" customHeight="1">
      <c r="A214" s="60"/>
      <c r="B214" s="48"/>
      <c r="C214" s="47"/>
      <c r="D214" s="47"/>
      <c r="F214" s="47"/>
      <c r="G214" s="51"/>
    </row>
    <row r="215" spans="1:7" ht="11.25" customHeight="1">
      <c r="A215" s="60"/>
      <c r="B215" s="48"/>
      <c r="C215" s="47"/>
      <c r="D215" s="47"/>
      <c r="E215" s="55"/>
      <c r="F215" s="47"/>
      <c r="G215" s="51"/>
    </row>
    <row r="216" spans="1:7" ht="11.25" customHeight="1">
      <c r="A216" s="60"/>
      <c r="B216" s="48"/>
      <c r="C216" s="47"/>
      <c r="D216" s="47"/>
      <c r="E216" s="55"/>
      <c r="F216" s="47"/>
      <c r="G216" s="51"/>
    </row>
    <row r="217" spans="1:7" ht="11.25" customHeight="1">
      <c r="A217" s="60"/>
      <c r="B217" s="48"/>
      <c r="C217" s="47"/>
      <c r="D217" s="47"/>
      <c r="F217" s="47"/>
      <c r="G217" s="51"/>
    </row>
    <row r="218" spans="1:7" ht="11.25" customHeight="1">
      <c r="A218" s="60"/>
      <c r="B218" s="48"/>
      <c r="C218" s="47"/>
      <c r="D218" s="47"/>
      <c r="E218" s="55"/>
      <c r="F218" s="47"/>
      <c r="G218" s="51"/>
    </row>
    <row r="219" spans="1:7" ht="11.25" customHeight="1">
      <c r="A219" s="60"/>
      <c r="B219" s="56"/>
      <c r="C219" s="47"/>
      <c r="D219" s="55"/>
      <c r="F219" s="55"/>
      <c r="G219" s="51"/>
    </row>
    <row r="220" spans="1:7" ht="11.25" customHeight="1">
      <c r="A220" s="60"/>
      <c r="B220" s="56"/>
      <c r="C220" s="47"/>
      <c r="D220" s="55"/>
      <c r="F220" s="55"/>
      <c r="G220" s="51"/>
    </row>
    <row r="221" spans="1:7" ht="11.25" customHeight="1">
      <c r="A221" s="60"/>
      <c r="B221" s="48"/>
      <c r="C221" s="47"/>
      <c r="D221" s="47"/>
      <c r="F221" s="47"/>
      <c r="G221" s="51"/>
    </row>
    <row r="222" spans="1:7" ht="11.25" customHeight="1">
      <c r="A222" s="60"/>
      <c r="B222" s="56"/>
      <c r="C222" s="47"/>
      <c r="D222" s="55"/>
      <c r="F222" s="55"/>
      <c r="G222" s="58"/>
    </row>
    <row r="223" spans="1:7" ht="11.25" customHeight="1">
      <c r="A223" s="60"/>
      <c r="B223" s="48"/>
      <c r="C223" s="47"/>
      <c r="D223" s="47"/>
      <c r="F223" s="47"/>
      <c r="G223" s="51"/>
    </row>
    <row r="224" spans="1:7" ht="11.25" customHeight="1">
      <c r="A224" s="60"/>
      <c r="B224" s="48"/>
      <c r="C224" s="47"/>
      <c r="D224" s="47"/>
      <c r="F224" s="47"/>
      <c r="G224" s="51"/>
    </row>
    <row r="225" spans="1:7" ht="11.25" customHeight="1">
      <c r="A225" s="60"/>
      <c r="B225" s="48"/>
      <c r="C225" s="47"/>
      <c r="D225" s="47"/>
      <c r="F225" s="47"/>
      <c r="G225" s="51"/>
    </row>
    <row r="226" spans="1:7" ht="11.25" customHeight="1">
      <c r="A226" s="60"/>
      <c r="B226" s="48"/>
      <c r="C226" s="47"/>
      <c r="D226" s="47"/>
      <c r="F226" s="47"/>
      <c r="G226" s="51"/>
    </row>
    <row r="227" spans="1:7" ht="11.25" customHeight="1">
      <c r="A227" s="60"/>
      <c r="B227" s="48"/>
      <c r="C227" s="47"/>
      <c r="D227" s="47"/>
      <c r="F227" s="47"/>
      <c r="G227" s="51"/>
    </row>
    <row r="228" spans="1:7" ht="11.25" customHeight="1">
      <c r="A228" s="60"/>
      <c r="B228" s="48"/>
      <c r="C228" s="47"/>
      <c r="D228" s="47"/>
      <c r="F228" s="47"/>
      <c r="G228" s="51"/>
    </row>
    <row r="229" spans="1:7" ht="11.25" customHeight="1">
      <c r="A229" s="60"/>
      <c r="B229" s="48"/>
      <c r="C229" s="47"/>
      <c r="D229" s="47"/>
      <c r="F229" s="47"/>
      <c r="G229" s="51"/>
    </row>
    <row r="230" spans="1:7" ht="11.25" customHeight="1">
      <c r="A230" s="60"/>
      <c r="B230" s="48"/>
      <c r="C230" s="47"/>
      <c r="D230" s="47"/>
      <c r="F230" s="47"/>
      <c r="G230" s="51"/>
    </row>
    <row r="231" spans="1:7" ht="11.25" customHeight="1">
      <c r="A231" s="60"/>
      <c r="B231" s="48"/>
      <c r="C231" s="47"/>
      <c r="D231" s="47"/>
      <c r="F231" s="47"/>
      <c r="G231" s="51"/>
    </row>
    <row r="232" spans="1:7" ht="11.25" customHeight="1">
      <c r="A232" s="60"/>
      <c r="B232" s="48"/>
      <c r="C232" s="47"/>
      <c r="D232" s="47"/>
      <c r="F232" s="47"/>
      <c r="G232" s="51"/>
    </row>
    <row r="233" spans="1:7" ht="11.25" customHeight="1">
      <c r="A233" s="60"/>
      <c r="B233" s="48"/>
      <c r="C233" s="47"/>
      <c r="D233" s="47"/>
      <c r="F233" s="47"/>
      <c r="G233" s="51"/>
    </row>
    <row r="234" spans="1:7" ht="11.25" customHeight="1">
      <c r="A234" s="60"/>
      <c r="B234" s="48"/>
      <c r="C234" s="47"/>
      <c r="D234" s="47"/>
      <c r="F234" s="47"/>
      <c r="G234" s="51"/>
    </row>
    <row r="235" spans="1:7" ht="11.25" customHeight="1">
      <c r="A235" s="60"/>
      <c r="B235" s="48"/>
      <c r="C235" s="47"/>
      <c r="D235" s="47"/>
      <c r="F235" s="47"/>
      <c r="G235" s="51"/>
    </row>
    <row r="236" spans="1:7" ht="11.25" customHeight="1">
      <c r="A236" s="60"/>
      <c r="B236" s="48"/>
      <c r="C236" s="47"/>
      <c r="D236" s="47"/>
      <c r="F236" s="47"/>
      <c r="G236" s="51"/>
    </row>
    <row r="237" spans="1:7" ht="11.25" customHeight="1">
      <c r="A237" s="60"/>
      <c r="B237" s="48"/>
      <c r="C237" s="47"/>
      <c r="D237" s="47"/>
      <c r="F237" s="47"/>
      <c r="G237" s="51"/>
    </row>
    <row r="238" spans="1:7" ht="11.25" customHeight="1">
      <c r="A238" s="60"/>
      <c r="B238" s="48"/>
      <c r="C238" s="47"/>
      <c r="D238" s="47"/>
      <c r="F238" s="47"/>
      <c r="G238" s="51"/>
    </row>
    <row r="239" spans="1:7" ht="11.25" customHeight="1">
      <c r="A239" s="60"/>
      <c r="B239" s="48"/>
      <c r="C239" s="47"/>
      <c r="D239" s="47"/>
      <c r="F239" s="47"/>
      <c r="G239" s="51"/>
    </row>
    <row r="240" spans="1:7" ht="11.25" customHeight="1">
      <c r="A240" s="60"/>
      <c r="B240" s="48"/>
      <c r="C240" s="47"/>
      <c r="D240" s="47"/>
      <c r="F240" s="47"/>
      <c r="G240" s="51"/>
    </row>
    <row r="241" spans="1:7" ht="11.25" customHeight="1">
      <c r="A241" s="60"/>
      <c r="B241" s="48"/>
      <c r="C241" s="47"/>
      <c r="D241" s="47"/>
      <c r="F241" s="47"/>
      <c r="G241" s="51"/>
    </row>
    <row r="242" spans="1:7" ht="11.25" customHeight="1">
      <c r="A242" s="60"/>
      <c r="B242" s="48"/>
      <c r="C242" s="47"/>
      <c r="D242" s="47"/>
      <c r="F242" s="47"/>
      <c r="G242" s="51"/>
    </row>
    <row r="243" spans="1:7" ht="11.25" customHeight="1">
      <c r="A243" s="60"/>
      <c r="B243" s="48"/>
      <c r="C243" s="47"/>
      <c r="D243" s="47"/>
      <c r="F243" s="47"/>
      <c r="G243" s="51"/>
    </row>
    <row r="244" spans="1:7" ht="11.25" customHeight="1">
      <c r="A244" s="60"/>
      <c r="B244" s="48"/>
      <c r="C244" s="47"/>
      <c r="D244" s="47"/>
      <c r="F244" s="47"/>
      <c r="G244" s="51"/>
    </row>
    <row r="245" spans="1:7" ht="11.25" customHeight="1">
      <c r="A245" s="60"/>
      <c r="B245" s="48"/>
      <c r="C245" s="47"/>
      <c r="D245" s="47"/>
      <c r="F245" s="47"/>
      <c r="G245" s="51"/>
    </row>
    <row r="246" spans="1:7" ht="11.25" customHeight="1">
      <c r="A246" s="60"/>
      <c r="B246" s="48"/>
      <c r="C246" s="47"/>
      <c r="D246" s="47"/>
      <c r="F246" s="47"/>
      <c r="G246" s="51"/>
    </row>
    <row r="247" spans="1:7" ht="11.25" customHeight="1">
      <c r="A247" s="60"/>
      <c r="B247" s="48"/>
      <c r="C247" s="47"/>
      <c r="D247" s="47"/>
      <c r="F247" s="47"/>
      <c r="G247" s="51"/>
    </row>
    <row r="248" spans="1:7" ht="11.25" customHeight="1">
      <c r="A248" s="60"/>
      <c r="B248" s="48"/>
      <c r="C248" s="47"/>
      <c r="D248" s="47"/>
      <c r="E248" s="47"/>
      <c r="F248" s="47"/>
      <c r="G248" s="51"/>
    </row>
    <row r="249" spans="1:7" ht="11.25" customHeight="1">
      <c r="A249" s="60"/>
      <c r="B249" s="48"/>
      <c r="C249" s="47"/>
      <c r="D249" s="47"/>
      <c r="E249" s="47"/>
      <c r="F249" s="47"/>
      <c r="G249" s="51"/>
    </row>
    <row r="250" spans="1:7" ht="11.25" customHeight="1">
      <c r="A250" s="60"/>
      <c r="B250" s="48"/>
      <c r="C250" s="47"/>
      <c r="D250" s="47"/>
      <c r="F250" s="47"/>
      <c r="G250" s="51"/>
    </row>
    <row r="251" spans="1:7" ht="11.25" customHeight="1">
      <c r="A251" s="60"/>
      <c r="B251" s="48"/>
      <c r="C251" s="47"/>
      <c r="D251" s="47"/>
      <c r="F251" s="47"/>
      <c r="G251" s="51"/>
    </row>
    <row r="252" spans="1:7" ht="11.25" customHeight="1">
      <c r="A252" s="60"/>
      <c r="B252" s="48"/>
      <c r="C252" s="47"/>
      <c r="D252" s="47"/>
      <c r="F252" s="47"/>
      <c r="G252" s="51"/>
    </row>
    <row r="253" spans="1:7" ht="11.25" customHeight="1">
      <c r="A253" s="60"/>
      <c r="B253" s="48"/>
      <c r="C253" s="47"/>
      <c r="D253" s="47"/>
      <c r="F253" s="47"/>
      <c r="G253" s="51"/>
    </row>
    <row r="254" spans="1:7" ht="11.25" customHeight="1">
      <c r="A254" s="60"/>
      <c r="B254" s="48"/>
      <c r="C254" s="47"/>
      <c r="D254" s="47"/>
      <c r="F254" s="47"/>
      <c r="G254" s="51"/>
    </row>
    <row r="255" spans="1:7" ht="11.25" customHeight="1">
      <c r="A255" s="60"/>
      <c r="B255" s="48"/>
      <c r="C255" s="47"/>
      <c r="D255" s="47"/>
      <c r="F255" s="47"/>
      <c r="G255" s="51"/>
    </row>
    <row r="256" spans="1:7" ht="11.25" customHeight="1">
      <c r="A256" s="60"/>
      <c r="B256" s="48"/>
      <c r="C256" s="47"/>
      <c r="D256" s="47"/>
      <c r="F256" s="47"/>
      <c r="G256" s="51"/>
    </row>
    <row r="257" spans="1:7" ht="11.25" customHeight="1">
      <c r="A257" s="60"/>
      <c r="B257" s="48"/>
      <c r="C257" s="47"/>
      <c r="D257" s="47"/>
      <c r="F257" s="47"/>
      <c r="G257" s="51"/>
    </row>
    <row r="258" spans="1:7" ht="11.25" customHeight="1">
      <c r="A258" s="60"/>
      <c r="B258" s="48"/>
      <c r="C258" s="47"/>
      <c r="D258" s="47"/>
      <c r="F258" s="47"/>
      <c r="G258" s="51"/>
    </row>
    <row r="259" spans="1:7" ht="11.25" customHeight="1">
      <c r="A259" s="60"/>
      <c r="B259" s="48"/>
      <c r="C259" s="47"/>
      <c r="D259" s="47"/>
      <c r="F259" s="47"/>
      <c r="G259" s="51"/>
    </row>
    <row r="260" spans="1:7" ht="11.25" customHeight="1">
      <c r="A260" s="60"/>
      <c r="B260" s="48"/>
      <c r="C260" s="47"/>
      <c r="D260" s="47"/>
      <c r="F260" s="47"/>
      <c r="G260" s="51"/>
    </row>
    <row r="261" spans="1:7" ht="11.25" customHeight="1">
      <c r="A261" s="60"/>
      <c r="B261" s="48"/>
      <c r="C261" s="47"/>
      <c r="D261" s="47"/>
      <c r="F261" s="47"/>
      <c r="G261" s="51"/>
    </row>
    <row r="262" spans="1:7" ht="11.25" customHeight="1">
      <c r="A262" s="60"/>
      <c r="B262" s="48"/>
      <c r="C262" s="47"/>
      <c r="D262" s="47"/>
      <c r="F262" s="47"/>
      <c r="G262" s="51"/>
    </row>
    <row r="263" spans="1:7" ht="11.25" customHeight="1">
      <c r="A263" s="60"/>
      <c r="B263" s="48"/>
      <c r="C263" s="47"/>
      <c r="D263" s="47"/>
      <c r="F263" s="47"/>
      <c r="G263" s="51"/>
    </row>
    <row r="264" spans="1:7" ht="11.25" customHeight="1">
      <c r="A264" s="60"/>
      <c r="B264" s="48"/>
      <c r="C264" s="47"/>
      <c r="D264" s="47"/>
      <c r="F264" s="47"/>
      <c r="G264" s="51"/>
    </row>
    <row r="265" spans="1:7" ht="11.25" customHeight="1">
      <c r="A265" s="60"/>
      <c r="B265" s="48"/>
      <c r="C265" s="47"/>
      <c r="D265" s="47"/>
      <c r="F265" s="47"/>
      <c r="G265" s="51"/>
    </row>
    <row r="266" spans="1:7" ht="11.25" customHeight="1">
      <c r="A266" s="60"/>
      <c r="B266" s="48"/>
      <c r="C266" s="47"/>
      <c r="D266" s="47"/>
      <c r="F266" s="47"/>
      <c r="G266" s="51"/>
    </row>
    <row r="267" spans="1:7" ht="11.25" customHeight="1">
      <c r="A267" s="60"/>
      <c r="B267" s="48"/>
      <c r="C267" s="47"/>
      <c r="D267" s="47"/>
      <c r="F267" s="47"/>
      <c r="G267" s="51"/>
    </row>
    <row r="268" spans="1:7" ht="11.25" customHeight="1">
      <c r="A268" s="60"/>
      <c r="B268" s="48"/>
      <c r="C268" s="47"/>
      <c r="D268" s="47"/>
      <c r="F268" s="47"/>
      <c r="G268" s="51"/>
    </row>
    <row r="269" spans="1:7" ht="11.25" customHeight="1">
      <c r="A269" s="60"/>
      <c r="B269" s="48"/>
      <c r="C269" s="47"/>
      <c r="D269" s="47"/>
      <c r="F269" s="47"/>
      <c r="G269" s="51"/>
    </row>
    <row r="270" spans="1:7" ht="11.25" customHeight="1">
      <c r="A270" s="60"/>
      <c r="B270" s="48"/>
      <c r="C270" s="47"/>
      <c r="D270" s="47"/>
      <c r="F270" s="47"/>
      <c r="G270" s="51"/>
    </row>
    <row r="271" spans="1:7" ht="11.25" customHeight="1">
      <c r="A271" s="60"/>
      <c r="B271" s="48"/>
      <c r="C271" s="47"/>
      <c r="D271" s="47"/>
      <c r="F271" s="47"/>
      <c r="G271" s="51"/>
    </row>
    <row r="272" spans="1:7" ht="11.25" customHeight="1">
      <c r="A272" s="60"/>
      <c r="B272" s="48"/>
      <c r="C272" s="47"/>
      <c r="D272" s="47"/>
      <c r="F272" s="47"/>
      <c r="G272" s="51"/>
    </row>
    <row r="273" spans="1:7" ht="11.25" customHeight="1">
      <c r="A273" s="60"/>
      <c r="B273" s="48"/>
      <c r="C273" s="47"/>
      <c r="D273" s="47"/>
      <c r="F273" s="47"/>
      <c r="G273" s="51"/>
    </row>
    <row r="274" spans="1:7" ht="11.25" customHeight="1">
      <c r="A274" s="60"/>
      <c r="B274" s="48"/>
      <c r="C274" s="47"/>
      <c r="D274" s="47"/>
      <c r="F274" s="47"/>
      <c r="G274" s="51"/>
    </row>
    <row r="275" spans="1:7" ht="11.25" customHeight="1">
      <c r="A275" s="60"/>
      <c r="B275" s="48"/>
      <c r="C275" s="47"/>
      <c r="D275" s="47"/>
      <c r="G275" s="51"/>
    </row>
    <row r="276" spans="1:7" ht="11.25" customHeight="1">
      <c r="A276" s="60"/>
      <c r="B276" s="48"/>
      <c r="C276" s="47"/>
      <c r="D276" s="47"/>
      <c r="G276" s="51"/>
    </row>
    <row r="277" spans="1:7" ht="11.25" customHeight="1">
      <c r="A277" s="60"/>
      <c r="B277" s="48"/>
      <c r="C277" s="47"/>
      <c r="D277" s="47"/>
      <c r="G277" s="51"/>
    </row>
    <row r="278" spans="1:7" ht="11.25" customHeight="1">
      <c r="A278" s="60"/>
      <c r="B278" s="48"/>
      <c r="C278" s="47"/>
      <c r="D278" s="47"/>
      <c r="G278" s="51"/>
    </row>
    <row r="279" spans="1:7" ht="11.25" customHeight="1">
      <c r="A279" s="60"/>
      <c r="B279" s="48"/>
      <c r="C279" s="47"/>
      <c r="D279" s="47"/>
      <c r="G279" s="51"/>
    </row>
    <row r="280" spans="1:7" ht="11.25" customHeight="1">
      <c r="A280" s="60"/>
      <c r="B280" s="48"/>
      <c r="C280" s="47"/>
      <c r="D280" s="47"/>
      <c r="G280" s="51"/>
    </row>
    <row r="281" spans="1:7" ht="11.25" customHeight="1">
      <c r="A281" s="60"/>
      <c r="B281" s="48"/>
      <c r="C281" s="47"/>
      <c r="D281" s="47"/>
      <c r="G281" s="51"/>
    </row>
    <row r="282" spans="1:7" ht="11.25" customHeight="1">
      <c r="A282" s="60"/>
      <c r="B282" s="48"/>
      <c r="C282" s="47"/>
      <c r="D282" s="47"/>
      <c r="G282" s="51"/>
    </row>
    <row r="283" spans="1:7" ht="11.25" customHeight="1">
      <c r="A283" s="60"/>
      <c r="B283" s="48"/>
      <c r="C283" s="47"/>
      <c r="D283" s="47"/>
      <c r="G283" s="51"/>
    </row>
    <row r="284" spans="1:7" ht="11.25" customHeight="1">
      <c r="A284" s="60"/>
      <c r="B284" s="48"/>
      <c r="C284" s="47"/>
      <c r="D284" s="47"/>
      <c r="G284" s="61"/>
    </row>
    <row r="285" spans="1:7" ht="11.25" customHeight="1">
      <c r="A285" s="60"/>
      <c r="B285" s="48"/>
      <c r="C285" s="47"/>
      <c r="D285" s="47"/>
      <c r="G285" s="61"/>
    </row>
    <row r="286" spans="1:7" ht="11.25" customHeight="1">
      <c r="A286" s="60"/>
      <c r="B286" s="48"/>
      <c r="C286" s="47"/>
      <c r="D286" s="47"/>
      <c r="G286" s="51"/>
    </row>
    <row r="287" spans="1:7" ht="11.25" customHeight="1">
      <c r="A287" s="60"/>
      <c r="B287" s="48"/>
      <c r="C287" s="47"/>
      <c r="D287" s="47"/>
      <c r="G287" s="61"/>
    </row>
    <row r="288" spans="1:7" ht="11.25" customHeight="1">
      <c r="A288" s="60"/>
      <c r="B288" s="48"/>
      <c r="C288" s="47"/>
      <c r="D288" s="47"/>
      <c r="G288" s="61"/>
    </row>
    <row r="289" spans="1:7" ht="11.25" customHeight="1">
      <c r="A289" s="60"/>
      <c r="B289" s="48"/>
      <c r="C289" s="47"/>
      <c r="D289" s="47"/>
      <c r="G289" s="51"/>
    </row>
    <row r="290" spans="1:7" ht="11.25" customHeight="1">
      <c r="A290" s="60"/>
      <c r="B290" s="48"/>
      <c r="C290" s="47"/>
      <c r="D290" s="47"/>
      <c r="G290" s="51"/>
    </row>
    <row r="291" spans="1:7" ht="11.25" customHeight="1">
      <c r="A291" s="60"/>
      <c r="B291" s="48"/>
      <c r="C291" s="47"/>
      <c r="D291" s="47"/>
      <c r="G291" s="51"/>
    </row>
    <row r="292" spans="1:7" ht="11.25" customHeight="1">
      <c r="A292" s="60"/>
      <c r="B292" s="48"/>
      <c r="C292" s="47"/>
      <c r="D292" s="47"/>
      <c r="G292" s="51"/>
    </row>
    <row r="293" spans="1:7" ht="11.25" customHeight="1">
      <c r="A293" s="60"/>
      <c r="B293" s="48"/>
      <c r="C293" s="47"/>
      <c r="D293" s="47"/>
      <c r="G293" s="51"/>
    </row>
    <row r="294" spans="1:7" ht="11.25" customHeight="1">
      <c r="A294" s="60"/>
      <c r="B294" s="48"/>
      <c r="C294" s="47"/>
      <c r="D294" s="47"/>
      <c r="G294" s="51"/>
    </row>
    <row r="295" spans="1:7" ht="11.25" customHeight="1">
      <c r="A295" s="60"/>
      <c r="B295" s="48"/>
      <c r="C295" s="47"/>
      <c r="D295" s="47"/>
      <c r="G295" s="51"/>
    </row>
    <row r="296" spans="1:7" ht="11.25" customHeight="1">
      <c r="A296" s="60"/>
      <c r="B296" s="48"/>
      <c r="C296" s="47"/>
      <c r="D296" s="47"/>
      <c r="G296" s="51"/>
    </row>
    <row r="297" spans="1:7" ht="11.25" customHeight="1">
      <c r="A297" s="60"/>
      <c r="B297" s="48"/>
      <c r="C297" s="47"/>
      <c r="D297" s="47"/>
      <c r="G297" s="51"/>
    </row>
    <row r="298" spans="1:7" ht="11.25" customHeight="1">
      <c r="A298" s="60"/>
      <c r="B298" s="48"/>
      <c r="C298" s="47"/>
      <c r="D298" s="47"/>
      <c r="G298" s="51"/>
    </row>
    <row r="299" spans="1:7" ht="11.25" customHeight="1">
      <c r="A299" s="60"/>
      <c r="B299" s="48"/>
      <c r="C299" s="47"/>
      <c r="D299" s="47"/>
      <c r="G299" s="51"/>
    </row>
    <row r="300" spans="1:7" ht="11.25" customHeight="1">
      <c r="A300" s="60"/>
      <c r="B300" s="48"/>
      <c r="C300" s="47"/>
      <c r="D300" s="47"/>
      <c r="G300" s="51"/>
    </row>
    <row r="301" spans="1:7" ht="11.25" customHeight="1">
      <c r="A301" s="60"/>
      <c r="B301" s="48"/>
      <c r="C301" s="47"/>
      <c r="D301" s="47"/>
      <c r="G301" s="51"/>
    </row>
    <row r="302" spans="1:7" ht="11.25" customHeight="1">
      <c r="A302" s="60"/>
      <c r="B302" s="48"/>
      <c r="C302" s="47"/>
      <c r="D302" s="47"/>
      <c r="G302" s="51"/>
    </row>
    <row r="303" spans="1:7" ht="11.25" customHeight="1">
      <c r="A303" s="60"/>
      <c r="B303" s="48"/>
      <c r="C303" s="47"/>
      <c r="D303" s="47"/>
      <c r="G303" s="51"/>
    </row>
    <row r="304" spans="1:7" ht="11.25" customHeight="1">
      <c r="A304" s="60"/>
      <c r="B304" s="48"/>
      <c r="C304" s="47"/>
      <c r="D304" s="47"/>
      <c r="G304" s="51"/>
    </row>
    <row r="305" spans="1:7" ht="11.25" customHeight="1">
      <c r="A305" s="60"/>
      <c r="B305" s="48"/>
      <c r="C305" s="47"/>
      <c r="D305" s="47"/>
      <c r="G305" s="51"/>
    </row>
    <row r="306" spans="1:7" ht="11.25" customHeight="1">
      <c r="A306" s="60"/>
      <c r="B306" s="48"/>
      <c r="C306" s="47"/>
      <c r="D306" s="47"/>
      <c r="G306" s="51"/>
    </row>
    <row r="307" spans="1:7" ht="11.25" customHeight="1">
      <c r="A307" s="60"/>
      <c r="B307" s="48"/>
      <c r="C307" s="47"/>
      <c r="D307" s="47"/>
      <c r="G307" s="51"/>
    </row>
    <row r="308" spans="1:7" ht="11.25" customHeight="1">
      <c r="A308" s="60"/>
      <c r="B308" s="48"/>
      <c r="C308" s="47"/>
      <c r="D308" s="47"/>
      <c r="G308" s="51"/>
    </row>
    <row r="309" spans="1:7" ht="11.25" customHeight="1">
      <c r="A309" s="60"/>
      <c r="B309" s="48"/>
      <c r="C309" s="47"/>
      <c r="D309" s="47"/>
      <c r="G309" s="51"/>
    </row>
    <row r="310" spans="1:7" ht="11.25" customHeight="1">
      <c r="A310" s="60"/>
      <c r="B310" s="48"/>
      <c r="C310" s="47"/>
      <c r="D310" s="47"/>
      <c r="G310" s="51"/>
    </row>
    <row r="311" spans="1:7" ht="11.25" customHeight="1">
      <c r="A311" s="60"/>
      <c r="B311" s="48"/>
      <c r="C311" s="47"/>
      <c r="D311" s="47"/>
      <c r="G311" s="51"/>
    </row>
    <row r="312" spans="1:7" ht="11.25" customHeight="1">
      <c r="A312" s="60"/>
      <c r="B312" s="48"/>
      <c r="C312" s="47"/>
      <c r="D312" s="47"/>
      <c r="G312" s="51"/>
    </row>
    <row r="313" spans="1:7" ht="11.25" customHeight="1">
      <c r="A313" s="60"/>
      <c r="B313" s="48"/>
      <c r="C313" s="47"/>
      <c r="D313" s="47"/>
      <c r="G313" s="51"/>
    </row>
    <row r="314" spans="1:7" ht="11.25" customHeight="1">
      <c r="A314" s="60"/>
      <c r="B314" s="62"/>
      <c r="C314" s="47"/>
      <c r="D314" s="47"/>
    </row>
    <row r="315" spans="1:7" ht="11.25" customHeight="1">
      <c r="A315" s="60"/>
      <c r="B315" s="62"/>
    </row>
    <row r="316" spans="1:7" ht="11.25" customHeight="1">
      <c r="A316" s="60"/>
      <c r="B316" s="62"/>
    </row>
    <row r="317" spans="1:7" ht="11.25" customHeight="1">
      <c r="A317" s="60"/>
      <c r="B317" s="62"/>
    </row>
    <row r="318" spans="1:7" ht="11.25" customHeight="1">
      <c r="A318" s="60"/>
      <c r="B318" s="62"/>
    </row>
    <row r="319" spans="1:7" ht="11.25" customHeight="1">
      <c r="A319" s="60"/>
      <c r="B319" s="62"/>
    </row>
    <row r="320" spans="1:7" ht="11.25" customHeight="1">
      <c r="A320" s="60"/>
      <c r="B320" s="62"/>
    </row>
    <row r="322" spans="1:7" ht="11.25" customHeight="1">
      <c r="A322" s="60"/>
      <c r="B322" s="62"/>
    </row>
    <row r="323" spans="1:7" ht="11.25" customHeight="1">
      <c r="B323" s="62"/>
    </row>
    <row r="324" spans="1:7" ht="11.25" customHeight="1">
      <c r="B324" s="62"/>
    </row>
    <row r="325" spans="1:7" ht="11.25" customHeight="1">
      <c r="B325" s="62"/>
    </row>
    <row r="326" spans="1:7" ht="11.25" customHeight="1">
      <c r="B326" s="62"/>
    </row>
    <row r="327" spans="1:7" ht="11.25" customHeight="1">
      <c r="B327" s="62"/>
    </row>
    <row r="328" spans="1:7" ht="11.25" customHeight="1">
      <c r="B328" s="62"/>
      <c r="G328" s="51"/>
    </row>
    <row r="329" spans="1:7" ht="11.25" customHeight="1">
      <c r="G329" s="51"/>
    </row>
    <row r="330" spans="1:7" ht="11.25" customHeight="1">
      <c r="B330" s="62"/>
      <c r="G330" s="51"/>
    </row>
    <row r="331" spans="1:7" ht="11.25" customHeight="1">
      <c r="G331" s="51"/>
    </row>
    <row r="332" spans="1:7" ht="11.25" customHeight="1">
      <c r="A332" s="60"/>
      <c r="B332" s="48"/>
      <c r="C332" s="47"/>
      <c r="D332" s="47"/>
      <c r="G332" s="51"/>
    </row>
    <row r="333" spans="1:7" ht="11.25" customHeight="1">
      <c r="A333" s="60"/>
      <c r="B333" s="48"/>
      <c r="C333" s="47"/>
      <c r="D333" s="47"/>
      <c r="G333" s="51"/>
    </row>
    <row r="334" spans="1:7" ht="11.25" customHeight="1">
      <c r="A334" s="60"/>
      <c r="B334" s="48"/>
      <c r="C334" s="47"/>
      <c r="D334" s="47"/>
      <c r="G334" s="51"/>
    </row>
    <row r="335" spans="1:7" ht="11.25" customHeight="1">
      <c r="A335" s="60"/>
      <c r="B335" s="48"/>
      <c r="C335" s="47"/>
      <c r="D335" s="47"/>
      <c r="G335" s="51"/>
    </row>
    <row r="336" spans="1:7" ht="11.25" customHeight="1">
      <c r="A336" s="60"/>
      <c r="B336" s="48"/>
      <c r="C336" s="47"/>
      <c r="D336" s="47"/>
      <c r="G336" s="51"/>
    </row>
    <row r="337" spans="1:7" ht="11.25" customHeight="1">
      <c r="A337" s="60"/>
      <c r="B337" s="48"/>
      <c r="C337" s="47"/>
      <c r="D337" s="47"/>
      <c r="G337" s="51"/>
    </row>
    <row r="338" spans="1:7" ht="11.25" customHeight="1">
      <c r="A338" s="60"/>
      <c r="B338" s="48"/>
      <c r="C338" s="47"/>
      <c r="D338" s="47"/>
      <c r="G338" s="51"/>
    </row>
    <row r="339" spans="1:7" ht="11.25" customHeight="1">
      <c r="A339" s="60"/>
      <c r="B339" s="48"/>
      <c r="C339" s="47"/>
      <c r="D339" s="47"/>
      <c r="G339" s="51"/>
    </row>
    <row r="340" spans="1:7" ht="11.25" customHeight="1">
      <c r="B340" s="62"/>
      <c r="G340" s="51"/>
    </row>
    <row r="341" spans="1:7" ht="11.25" customHeight="1">
      <c r="B341" s="62"/>
      <c r="G341" s="51"/>
    </row>
    <row r="342" spans="1:7" ht="11.25" customHeight="1">
      <c r="B342" s="62"/>
      <c r="G342" s="51"/>
    </row>
    <row r="343" spans="1:7" ht="11.25" customHeight="1">
      <c r="B343" s="62"/>
      <c r="G343" s="51"/>
    </row>
    <row r="344" spans="1:7" ht="11.25" customHeight="1">
      <c r="B344" s="62"/>
      <c r="G344" s="51"/>
    </row>
    <row r="345" spans="1:7" ht="11.25" customHeight="1">
      <c r="B345" s="62"/>
      <c r="G345" s="51"/>
    </row>
    <row r="346" spans="1:7" ht="11.25" customHeight="1">
      <c r="B346" s="62"/>
      <c r="G346" s="51"/>
    </row>
    <row r="347" spans="1:7" ht="11.25" customHeight="1">
      <c r="B347" s="62"/>
      <c r="G347" s="51"/>
    </row>
    <row r="348" spans="1:7" ht="11.25" customHeight="1">
      <c r="B348" s="62"/>
      <c r="G348" s="51"/>
    </row>
    <row r="349" spans="1:7" ht="11.25" customHeight="1">
      <c r="B349" s="62"/>
      <c r="G349" s="51"/>
    </row>
    <row r="350" spans="1:7" ht="11.25" customHeight="1">
      <c r="A350" s="60"/>
      <c r="B350" s="48"/>
      <c r="C350" s="47"/>
      <c r="D350" s="47"/>
      <c r="G350" s="51"/>
    </row>
    <row r="351" spans="1:7" ht="11.25" customHeight="1">
      <c r="A351" s="60"/>
      <c r="B351" s="48"/>
      <c r="C351" s="47"/>
      <c r="D351" s="47"/>
      <c r="G351" s="51"/>
    </row>
    <row r="352" spans="1:7" ht="11.25" customHeight="1">
      <c r="A352" s="60"/>
      <c r="B352" s="48"/>
      <c r="C352" s="47"/>
      <c r="D352" s="47"/>
      <c r="G352" s="51"/>
    </row>
    <row r="353" spans="1:7" ht="11.25" customHeight="1">
      <c r="A353" s="60"/>
      <c r="B353" s="48"/>
      <c r="C353" s="47"/>
      <c r="D353" s="47"/>
      <c r="G353" s="51"/>
    </row>
    <row r="354" spans="1:7" ht="11.25" customHeight="1">
      <c r="A354" s="60"/>
      <c r="B354" s="48"/>
      <c r="C354" s="47"/>
      <c r="D354" s="47"/>
      <c r="G354" s="51"/>
    </row>
    <row r="355" spans="1:7" ht="11.25" customHeight="1">
      <c r="A355" s="60"/>
      <c r="B355" s="48"/>
      <c r="C355" s="47"/>
      <c r="D355" s="47"/>
      <c r="G355" s="51"/>
    </row>
    <row r="356" spans="1:7" ht="11.25" customHeight="1">
      <c r="A356" s="60"/>
      <c r="B356" s="48"/>
      <c r="C356" s="47"/>
      <c r="D356" s="47"/>
      <c r="G356" s="51"/>
    </row>
    <row r="357" spans="1:7" ht="11.25" customHeight="1">
      <c r="A357" s="60"/>
      <c r="B357" s="48"/>
      <c r="C357" s="47"/>
      <c r="D357" s="47"/>
      <c r="G357" s="51"/>
    </row>
    <row r="358" spans="1:7" ht="11.25" customHeight="1">
      <c r="A358" s="60"/>
      <c r="B358" s="48"/>
      <c r="C358" s="47"/>
      <c r="D358" s="47"/>
      <c r="G358" s="51"/>
    </row>
    <row r="359" spans="1:7" ht="11.25" customHeight="1">
      <c r="A359" s="60"/>
      <c r="B359" s="48"/>
      <c r="C359" s="47"/>
      <c r="D359" s="47"/>
      <c r="G359" s="51"/>
    </row>
    <row r="360" spans="1:7" ht="11.25" customHeight="1">
      <c r="A360" s="60"/>
      <c r="B360" s="48"/>
      <c r="C360" s="47"/>
      <c r="D360" s="47"/>
      <c r="G360" s="51"/>
    </row>
    <row r="361" spans="1:7" ht="11.25" customHeight="1">
      <c r="A361" s="60"/>
      <c r="B361" s="48"/>
      <c r="C361" s="47"/>
      <c r="D361" s="47"/>
      <c r="G361" s="51"/>
    </row>
    <row r="362" spans="1:7" ht="11.25" customHeight="1">
      <c r="A362" s="60"/>
      <c r="B362" s="48"/>
      <c r="C362" s="47"/>
      <c r="D362" s="47"/>
      <c r="G362" s="51"/>
    </row>
    <row r="363" spans="1:7" ht="11.25" customHeight="1">
      <c r="A363" s="60"/>
      <c r="B363" s="48"/>
      <c r="C363" s="47"/>
      <c r="D363" s="47"/>
      <c r="G363" s="51"/>
    </row>
    <row r="364" spans="1:7" ht="11.25" customHeight="1">
      <c r="A364" s="60"/>
      <c r="B364" s="48"/>
      <c r="C364" s="47"/>
      <c r="D364" s="47"/>
      <c r="G364" s="51"/>
    </row>
    <row r="365" spans="1:7" ht="11.25" customHeight="1">
      <c r="A365" s="60"/>
      <c r="B365" s="48"/>
      <c r="C365" s="47"/>
      <c r="D365" s="47"/>
      <c r="G365" s="51"/>
    </row>
    <row r="366" spans="1:7" ht="11.25" customHeight="1">
      <c r="A366" s="60"/>
      <c r="B366" s="48"/>
      <c r="C366" s="47"/>
      <c r="D366" s="47"/>
      <c r="G366" s="51"/>
    </row>
    <row r="367" spans="1:7" ht="11.25" customHeight="1">
      <c r="A367" s="60"/>
      <c r="B367" s="48"/>
      <c r="C367" s="47"/>
      <c r="D367" s="47"/>
      <c r="G367" s="51"/>
    </row>
    <row r="368" spans="1:7" ht="11.25" customHeight="1">
      <c r="A368" s="60"/>
      <c r="B368" s="48"/>
      <c r="C368" s="47"/>
      <c r="D368" s="47"/>
      <c r="G368" s="51"/>
    </row>
    <row r="369" spans="1:7" ht="11.25" customHeight="1">
      <c r="A369" s="60"/>
      <c r="B369" s="48"/>
      <c r="C369" s="47"/>
      <c r="D369" s="47"/>
      <c r="G369" s="51"/>
    </row>
    <row r="370" spans="1:7" ht="11.25" customHeight="1">
      <c r="A370" s="60"/>
      <c r="B370" s="48"/>
      <c r="C370" s="47"/>
      <c r="D370" s="47"/>
      <c r="G370" s="51"/>
    </row>
    <row r="371" spans="1:7" ht="11.25" customHeight="1">
      <c r="A371" s="60"/>
      <c r="B371" s="48"/>
      <c r="C371" s="47"/>
      <c r="D371" s="47"/>
      <c r="G371" s="51"/>
    </row>
    <row r="372" spans="1:7" ht="11.25" customHeight="1">
      <c r="A372" s="60"/>
      <c r="B372" s="48"/>
      <c r="C372" s="47"/>
      <c r="D372" s="47"/>
      <c r="G372" s="51"/>
    </row>
    <row r="373" spans="1:7" ht="11.25" customHeight="1">
      <c r="A373" s="60"/>
      <c r="B373" s="48"/>
      <c r="C373" s="47"/>
      <c r="D373" s="47"/>
      <c r="G373" s="51"/>
    </row>
    <row r="374" spans="1:7" ht="11.25" customHeight="1">
      <c r="A374" s="60"/>
      <c r="B374" s="48"/>
      <c r="C374" s="47"/>
      <c r="D374" s="47"/>
      <c r="G374" s="51"/>
    </row>
    <row r="375" spans="1:7" ht="11.25" customHeight="1">
      <c r="A375" s="60"/>
      <c r="B375" s="48"/>
      <c r="C375" s="47"/>
      <c r="D375" s="47"/>
      <c r="G375" s="51"/>
    </row>
    <row r="376" spans="1:7" ht="11.25" customHeight="1">
      <c r="B376" s="62"/>
      <c r="G376" s="51"/>
    </row>
    <row r="377" spans="1:7" ht="11.25" customHeight="1">
      <c r="B377" s="62"/>
      <c r="G377" s="51"/>
    </row>
    <row r="378" spans="1:7" ht="11.25" customHeight="1">
      <c r="A378" s="60"/>
      <c r="B378" s="48"/>
      <c r="C378" s="47"/>
      <c r="D378" s="47"/>
      <c r="G378" s="51"/>
    </row>
    <row r="379" spans="1:7" ht="11.25" customHeight="1">
      <c r="A379" s="60"/>
      <c r="B379" s="48"/>
      <c r="C379" s="47"/>
      <c r="D379" s="47"/>
      <c r="G379" s="51"/>
    </row>
    <row r="380" spans="1:7" ht="11.25" customHeight="1">
      <c r="A380" s="60"/>
      <c r="B380" s="48"/>
      <c r="C380" s="47"/>
      <c r="D380" s="47"/>
      <c r="G380" s="51"/>
    </row>
    <row r="381" spans="1:7" ht="11.25" customHeight="1">
      <c r="A381" s="60"/>
      <c r="B381" s="48"/>
      <c r="C381" s="47"/>
      <c r="D381" s="47"/>
      <c r="G381" s="51"/>
    </row>
    <row r="382" spans="1:7" ht="11.25" customHeight="1">
      <c r="A382" s="60"/>
      <c r="B382" s="48"/>
      <c r="C382" s="47"/>
      <c r="D382" s="47"/>
      <c r="G382" s="51"/>
    </row>
    <row r="383" spans="1:7" ht="11.25" customHeight="1">
      <c r="A383" s="60"/>
      <c r="B383" s="48"/>
      <c r="C383" s="47"/>
      <c r="D383" s="47"/>
      <c r="G383" s="51"/>
    </row>
    <row r="384" spans="1:7" ht="11.25" customHeight="1">
      <c r="A384" s="60"/>
      <c r="B384" s="48"/>
      <c r="C384" s="47"/>
      <c r="D384" s="47"/>
      <c r="G384" s="51"/>
    </row>
    <row r="385" spans="1:7" ht="11.25" customHeight="1">
      <c r="A385" s="60"/>
      <c r="B385" s="48"/>
      <c r="C385" s="47"/>
      <c r="D385" s="47"/>
      <c r="G385" s="51"/>
    </row>
    <row r="386" spans="1:7" ht="11.25" customHeight="1">
      <c r="A386" s="60"/>
      <c r="B386" s="48"/>
      <c r="C386" s="47"/>
      <c r="D386" s="47"/>
      <c r="G386" s="51"/>
    </row>
    <row r="387" spans="1:7" ht="11.25" customHeight="1">
      <c r="A387" s="60"/>
      <c r="B387" s="48"/>
      <c r="C387" s="47"/>
      <c r="D387" s="47"/>
      <c r="G387" s="51"/>
    </row>
    <row r="388" spans="1:7" ht="11.25" customHeight="1">
      <c r="A388" s="60"/>
      <c r="B388" s="48"/>
      <c r="C388" s="47"/>
      <c r="D388" s="47"/>
      <c r="G388" s="51"/>
    </row>
    <row r="389" spans="1:7" ht="11.25" customHeight="1">
      <c r="A389" s="60"/>
      <c r="B389" s="48"/>
      <c r="C389" s="47"/>
      <c r="D389" s="47"/>
      <c r="G389" s="51"/>
    </row>
    <row r="390" spans="1:7" ht="11.25" customHeight="1">
      <c r="A390" s="60"/>
      <c r="B390" s="48"/>
      <c r="C390" s="47"/>
      <c r="D390" s="47"/>
      <c r="G390" s="51"/>
    </row>
    <row r="391" spans="1:7" ht="11.25" customHeight="1">
      <c r="A391" s="60"/>
      <c r="B391" s="48"/>
      <c r="C391" s="47"/>
      <c r="D391" s="47"/>
      <c r="G391" s="51"/>
    </row>
    <row r="392" spans="1:7" ht="11.25" customHeight="1">
      <c r="A392" s="60"/>
      <c r="B392" s="48"/>
      <c r="C392" s="47"/>
      <c r="D392" s="47"/>
      <c r="G392" s="51"/>
    </row>
    <row r="393" spans="1:7" ht="11.25" customHeight="1">
      <c r="A393" s="60"/>
      <c r="B393" s="48"/>
      <c r="C393" s="47"/>
      <c r="D393" s="47"/>
      <c r="G393" s="51"/>
    </row>
    <row r="394" spans="1:7" ht="11.25" customHeight="1">
      <c r="A394" s="60"/>
      <c r="B394" s="48"/>
      <c r="C394" s="47"/>
      <c r="D394" s="47"/>
      <c r="G394" s="51"/>
    </row>
    <row r="395" spans="1:7" ht="11.25" customHeight="1">
      <c r="A395" s="60"/>
      <c r="B395" s="48"/>
      <c r="C395" s="47"/>
      <c r="D395" s="47"/>
      <c r="G395" s="51"/>
    </row>
    <row r="396" spans="1:7" ht="11.25" customHeight="1">
      <c r="A396" s="60"/>
      <c r="B396" s="48"/>
      <c r="C396" s="47"/>
      <c r="D396" s="47"/>
      <c r="G396" s="51"/>
    </row>
    <row r="397" spans="1:7" ht="11.25" customHeight="1">
      <c r="A397" s="60"/>
      <c r="B397" s="48"/>
      <c r="C397" s="47"/>
      <c r="D397" s="47"/>
      <c r="G397" s="51"/>
    </row>
    <row r="398" spans="1:7" ht="11.25" customHeight="1">
      <c r="A398" s="60"/>
      <c r="B398" s="48"/>
      <c r="C398" s="47"/>
      <c r="D398" s="47"/>
      <c r="G398" s="51"/>
    </row>
    <row r="399" spans="1:7" ht="11.25" customHeight="1">
      <c r="A399" s="60"/>
      <c r="B399" s="48"/>
      <c r="C399" s="47"/>
      <c r="D399" s="47"/>
      <c r="G399" s="51"/>
    </row>
    <row r="400" spans="1:7" ht="11.25" customHeight="1">
      <c r="A400" s="60"/>
      <c r="B400" s="48"/>
      <c r="C400" s="47"/>
      <c r="D400" s="47"/>
      <c r="G400" s="51"/>
    </row>
    <row r="401" spans="1:7" ht="11.25" customHeight="1">
      <c r="A401" s="60"/>
      <c r="B401" s="48"/>
      <c r="C401" s="47"/>
      <c r="D401" s="47"/>
      <c r="G401" s="51"/>
    </row>
    <row r="402" spans="1:7" ht="11.25" customHeight="1">
      <c r="A402" s="60"/>
      <c r="B402" s="48"/>
      <c r="C402" s="47"/>
      <c r="D402" s="47"/>
      <c r="G402" s="51"/>
    </row>
    <row r="403" spans="1:7" ht="11.25" customHeight="1">
      <c r="A403" s="60"/>
      <c r="B403" s="48"/>
      <c r="C403" s="47"/>
      <c r="D403" s="47"/>
      <c r="G403" s="51"/>
    </row>
    <row r="404" spans="1:7" ht="11.25" customHeight="1">
      <c r="A404" s="60"/>
      <c r="B404" s="48"/>
      <c r="C404" s="47"/>
      <c r="D404" s="47"/>
      <c r="G404" s="51"/>
    </row>
    <row r="405" spans="1:7" ht="11.25" customHeight="1">
      <c r="A405" s="60"/>
      <c r="B405" s="48"/>
      <c r="C405" s="47"/>
      <c r="D405" s="47"/>
      <c r="G405" s="51"/>
    </row>
    <row r="406" spans="1:7" ht="11.25" customHeight="1">
      <c r="B406" s="62"/>
      <c r="G406" s="51"/>
    </row>
    <row r="407" spans="1:7" ht="11.25" customHeight="1">
      <c r="B407" s="62"/>
      <c r="G407" s="51"/>
    </row>
    <row r="408" spans="1:7" ht="11.25" customHeight="1">
      <c r="B408" s="62"/>
      <c r="G408" s="51"/>
    </row>
    <row r="409" spans="1:7" ht="11.25" customHeight="1">
      <c r="B409" s="62"/>
      <c r="G409" s="51"/>
    </row>
    <row r="410" spans="1:7" ht="11.25" customHeight="1">
      <c r="B410" s="62"/>
      <c r="G410" s="51"/>
    </row>
    <row r="411" spans="1:7" ht="11.25" customHeight="1">
      <c r="B411" s="62"/>
      <c r="G411" s="51"/>
    </row>
    <row r="412" spans="1:7" ht="11.25" customHeight="1">
      <c r="B412" s="62"/>
      <c r="G412" s="51"/>
    </row>
    <row r="413" spans="1:7" ht="11.25" customHeight="1">
      <c r="B413" s="62"/>
      <c r="G413" s="51"/>
    </row>
    <row r="414" spans="1:7" ht="11.25" customHeight="1">
      <c r="B414" s="62"/>
      <c r="G414" s="51"/>
    </row>
    <row r="415" spans="1:7" ht="11.25" customHeight="1">
      <c r="B415" s="62"/>
      <c r="G415" s="51"/>
    </row>
    <row r="416" spans="1:7" ht="11.25" customHeight="1">
      <c r="B416" s="62"/>
      <c r="G416" s="51"/>
    </row>
    <row r="417" spans="1:7" ht="11.25" customHeight="1">
      <c r="B417" s="62"/>
    </row>
    <row r="418" spans="1:7" ht="11.25" customHeight="1">
      <c r="B418" s="62"/>
      <c r="G418" s="51"/>
    </row>
    <row r="419" spans="1:7" ht="11.25" customHeight="1">
      <c r="A419" s="175"/>
      <c r="B419" s="175"/>
      <c r="C419" s="175"/>
      <c r="D419" s="175"/>
      <c r="E419" s="175"/>
      <c r="F419" s="175"/>
      <c r="G419" s="51"/>
    </row>
    <row r="420" spans="1:7" ht="11.25" customHeight="1">
      <c r="B420" s="62"/>
      <c r="G420" s="51"/>
    </row>
    <row r="421" spans="1:7" ht="11.25" customHeight="1">
      <c r="B421" s="175"/>
      <c r="C421" s="175"/>
      <c r="D421" s="175"/>
    </row>
    <row r="422" spans="1:7" ht="11.25" customHeight="1">
      <c r="B422" s="175"/>
      <c r="C422" s="175"/>
      <c r="D422" s="175"/>
    </row>
    <row r="423" spans="1:7" ht="11.25" customHeight="1">
      <c r="B423" s="62"/>
    </row>
    <row r="424" spans="1:7" ht="11.25" customHeight="1">
      <c r="B424" s="62"/>
    </row>
    <row r="425" spans="1:7" ht="11.25" customHeight="1">
      <c r="B425" s="62"/>
    </row>
    <row r="426" spans="1:7" ht="11.25" customHeight="1">
      <c r="B426" s="62"/>
    </row>
    <row r="427" spans="1:7" ht="11.25" customHeight="1">
      <c r="B427" s="62"/>
    </row>
    <row r="428" spans="1:7" ht="11.25" customHeight="1">
      <c r="B428" s="62"/>
    </row>
    <row r="429" spans="1:7" ht="11.25" customHeight="1">
      <c r="B429" s="62"/>
    </row>
    <row r="430" spans="1:7" ht="11.25" customHeight="1">
      <c r="B430" s="62"/>
    </row>
    <row r="431" spans="1:7" ht="11.25" customHeight="1">
      <c r="B431" s="62"/>
    </row>
    <row r="432" spans="1:7" ht="11.25" customHeight="1">
      <c r="B432" s="62"/>
    </row>
    <row r="433" spans="2:2" ht="11.25" customHeight="1">
      <c r="B433" s="62"/>
    </row>
    <row r="434" spans="2:2" ht="11.25" customHeight="1">
      <c r="B434" s="62"/>
    </row>
    <row r="435" spans="2:2" ht="11.25" customHeight="1">
      <c r="B435" s="62"/>
    </row>
    <row r="436" spans="2:2" ht="11.25" customHeight="1">
      <c r="B436" s="62"/>
    </row>
    <row r="437" spans="2:2" ht="11.25" customHeight="1">
      <c r="B437" s="62"/>
    </row>
    <row r="438" spans="2:2" ht="11.25" customHeight="1">
      <c r="B438" s="62"/>
    </row>
    <row r="439" spans="2:2" ht="11.25" customHeight="1">
      <c r="B439" s="62"/>
    </row>
    <row r="440" spans="2:2" ht="11.25" customHeight="1">
      <c r="B440" s="62"/>
    </row>
    <row r="441" spans="2:2" ht="11.25" customHeight="1">
      <c r="B441" s="62"/>
    </row>
    <row r="442" spans="2:2" ht="11.25" customHeight="1">
      <c r="B442" s="62"/>
    </row>
    <row r="443" spans="2:2" ht="11.25" customHeight="1">
      <c r="B443" s="62"/>
    </row>
    <row r="444" spans="2:2" ht="11.25" customHeight="1">
      <c r="B444" s="62"/>
    </row>
    <row r="445" spans="2:2" ht="11.25" customHeight="1">
      <c r="B445" s="62"/>
    </row>
    <row r="446" spans="2:2" ht="11.25" customHeight="1">
      <c r="B446" s="62"/>
    </row>
    <row r="447" spans="2:2" ht="11.25" customHeight="1">
      <c r="B447" s="62"/>
    </row>
    <row r="448" spans="2:2" ht="11.25" customHeight="1">
      <c r="B448" s="62"/>
    </row>
    <row r="449" spans="1:7" ht="11.25" customHeight="1">
      <c r="B449" s="62"/>
    </row>
    <row r="450" spans="1:7" ht="11.25" customHeight="1">
      <c r="B450" s="62"/>
    </row>
    <row r="451" spans="1:7" ht="11.25" customHeight="1">
      <c r="B451" s="62"/>
    </row>
    <row r="452" spans="1:7" ht="11.25" customHeight="1">
      <c r="B452" s="62"/>
      <c r="G452" s="51"/>
    </row>
    <row r="453" spans="1:7" ht="11.25" customHeight="1">
      <c r="B453" s="62"/>
      <c r="G453" s="51"/>
    </row>
    <row r="454" spans="1:7" ht="11.25" customHeight="1">
      <c r="B454" s="62"/>
      <c r="G454" s="51"/>
    </row>
    <row r="455" spans="1:7" ht="11.25" customHeight="1">
      <c r="B455" s="62"/>
      <c r="G455" s="51"/>
    </row>
    <row r="456" spans="1:7" ht="11.25" customHeight="1">
      <c r="B456" s="62"/>
      <c r="G456" s="51"/>
    </row>
    <row r="457" spans="1:7" ht="11.25" customHeight="1">
      <c r="B457" s="62"/>
      <c r="G457" s="51"/>
    </row>
    <row r="458" spans="1:7" ht="11.25" customHeight="1">
      <c r="A458" s="175"/>
      <c r="B458" s="175"/>
      <c r="C458" s="175"/>
      <c r="D458" s="175"/>
      <c r="G458" s="51"/>
    </row>
    <row r="459" spans="1:7" ht="11.25" customHeight="1">
      <c r="A459" s="175"/>
      <c r="B459" s="175"/>
      <c r="C459" s="175"/>
      <c r="D459" s="175"/>
      <c r="G459" s="51"/>
    </row>
    <row r="460" spans="1:7" ht="11.25" customHeight="1">
      <c r="A460" s="175"/>
      <c r="B460" s="175"/>
      <c r="C460" s="175"/>
      <c r="D460" s="175"/>
      <c r="G460" s="51"/>
    </row>
    <row r="461" spans="1:7" ht="11.25" customHeight="1">
      <c r="B461" s="62"/>
    </row>
    <row r="462" spans="1:7" ht="11.25" customHeight="1">
      <c r="B462" s="62"/>
    </row>
    <row r="463" spans="1:7" ht="11.25" customHeight="1">
      <c r="B463" s="62"/>
    </row>
    <row r="464" spans="1:7" ht="11.25" customHeight="1">
      <c r="B464" s="62"/>
    </row>
    <row r="465" spans="1:9" ht="11.25" customHeight="1">
      <c r="B465" s="62"/>
    </row>
    <row r="466" spans="1:9" ht="11.25" customHeight="1">
      <c r="B466" s="62"/>
    </row>
    <row r="467" spans="1:9" ht="11.25" customHeight="1">
      <c r="B467" s="62"/>
    </row>
    <row r="468" spans="1:9" ht="11.25" customHeight="1">
      <c r="B468" s="62"/>
    </row>
    <row r="469" spans="1:9" ht="11.25" customHeight="1">
      <c r="A469" s="175"/>
      <c r="B469" s="62"/>
    </row>
    <row r="470" spans="1:9" ht="11.25" customHeight="1">
      <c r="B470" s="62"/>
    </row>
    <row r="471" spans="1:9" ht="11.25" customHeight="1">
      <c r="B471" s="62"/>
    </row>
    <row r="472" spans="1:9" ht="11.25" customHeight="1">
      <c r="B472" s="62"/>
    </row>
    <row r="473" spans="1:9" ht="11.25" customHeight="1">
      <c r="A473" s="175"/>
      <c r="B473" s="62"/>
    </row>
    <row r="474" spans="1:9" ht="11.25" customHeight="1">
      <c r="A474" s="175"/>
      <c r="B474" s="175"/>
      <c r="C474" s="175"/>
      <c r="D474" s="175"/>
    </row>
    <row r="475" spans="1:9" ht="11.25" customHeight="1">
      <c r="B475" s="62"/>
      <c r="G475" s="51"/>
    </row>
    <row r="476" spans="1:9" ht="11.25" customHeight="1">
      <c r="B476" s="62"/>
      <c r="G476" s="51"/>
    </row>
    <row r="477" spans="1:9" ht="11.25" customHeight="1">
      <c r="B477" s="62"/>
      <c r="G477" s="51"/>
      <c r="H477" s="176"/>
      <c r="I477" s="176"/>
    </row>
    <row r="478" spans="1:9" ht="11.25" customHeight="1">
      <c r="B478" s="62"/>
      <c r="G478" s="51"/>
      <c r="H478" s="176"/>
      <c r="I478" s="176"/>
    </row>
    <row r="479" spans="1:9" ht="11.25" customHeight="1">
      <c r="B479" s="62"/>
      <c r="G479" s="51"/>
      <c r="H479" s="176"/>
      <c r="I479" s="176"/>
    </row>
    <row r="480" spans="1:9" ht="11.25" customHeight="1">
      <c r="B480" s="62"/>
      <c r="G480" s="51"/>
      <c r="H480" s="176"/>
      <c r="I480" s="176"/>
    </row>
    <row r="481" spans="2:9" ht="11.25" customHeight="1">
      <c r="B481" s="62"/>
      <c r="G481" s="51"/>
      <c r="H481" s="176"/>
      <c r="I481" s="176"/>
    </row>
    <row r="482" spans="2:9" ht="11.25" customHeight="1">
      <c r="B482" s="62"/>
      <c r="G482" s="51"/>
    </row>
    <row r="483" spans="2:9" ht="11.25" customHeight="1">
      <c r="B483" s="62"/>
      <c r="G483" s="51"/>
    </row>
    <row r="484" spans="2:9" ht="11.25" customHeight="1">
      <c r="B484" s="62"/>
      <c r="G484" s="51"/>
    </row>
    <row r="485" spans="2:9" ht="11.25" customHeight="1">
      <c r="B485" s="62"/>
      <c r="G485" s="51"/>
    </row>
    <row r="486" spans="2:9" ht="11.25" customHeight="1">
      <c r="B486" s="62"/>
      <c r="G486" s="51"/>
    </row>
    <row r="487" spans="2:9" ht="11.25" customHeight="1">
      <c r="B487" s="62"/>
      <c r="G487" s="51"/>
    </row>
    <row r="488" spans="2:9" ht="11.25" customHeight="1">
      <c r="B488" s="62"/>
      <c r="G488" s="51"/>
    </row>
    <row r="489" spans="2:9" ht="11.25" customHeight="1">
      <c r="B489" s="62"/>
      <c r="G489" s="51"/>
    </row>
    <row r="490" spans="2:9" ht="11.25" customHeight="1">
      <c r="B490" s="62"/>
      <c r="G490" s="51"/>
    </row>
    <row r="491" spans="2:9" ht="11.25" customHeight="1">
      <c r="B491" s="62"/>
      <c r="G491" s="51"/>
    </row>
    <row r="492" spans="2:9" ht="11.25" customHeight="1">
      <c r="B492" s="62"/>
      <c r="G492" s="51"/>
    </row>
    <row r="493" spans="2:9" ht="11.25" customHeight="1">
      <c r="B493" s="62"/>
    </row>
    <row r="494" spans="2:9" ht="11.25" customHeight="1">
      <c r="B494" s="62"/>
    </row>
    <row r="495" spans="2:9" ht="11.25" customHeight="1">
      <c r="B495" s="62"/>
    </row>
    <row r="496" spans="2:9" ht="11.25" customHeight="1">
      <c r="B496" s="62"/>
    </row>
    <row r="497" spans="2:7" ht="11.25" customHeight="1">
      <c r="B497" s="62"/>
    </row>
    <row r="498" spans="2:7" ht="11.25" customHeight="1">
      <c r="B498" s="62"/>
      <c r="G498" s="51"/>
    </row>
    <row r="499" spans="2:7" ht="11.25" customHeight="1">
      <c r="B499" s="62"/>
      <c r="G499" s="51"/>
    </row>
    <row r="500" spans="2:7" ht="11.25" customHeight="1">
      <c r="B500" s="62"/>
      <c r="G500" s="51"/>
    </row>
    <row r="501" spans="2:7" ht="11.25" customHeight="1">
      <c r="B501" s="62"/>
      <c r="G501" s="51"/>
    </row>
    <row r="502" spans="2:7" ht="11.25" customHeight="1">
      <c r="B502" s="62"/>
      <c r="G502" s="51"/>
    </row>
    <row r="503" spans="2:7" ht="11.25" customHeight="1">
      <c r="B503" s="62"/>
      <c r="G503" s="51"/>
    </row>
    <row r="504" spans="2:7" ht="11.25" customHeight="1">
      <c r="B504" s="62"/>
      <c r="G504" s="51"/>
    </row>
    <row r="505" spans="2:7" ht="11.25" customHeight="1">
      <c r="B505" s="62"/>
      <c r="G505" s="51"/>
    </row>
    <row r="506" spans="2:7" ht="11.25" customHeight="1">
      <c r="B506" s="62"/>
      <c r="G506" s="51"/>
    </row>
    <row r="507" spans="2:7" ht="11.25" customHeight="1">
      <c r="B507" s="62"/>
      <c r="G507" s="51"/>
    </row>
    <row r="508" spans="2:7" ht="11.25" customHeight="1">
      <c r="B508" s="62"/>
      <c r="G508" s="51"/>
    </row>
    <row r="509" spans="2:7" ht="11.25" customHeight="1">
      <c r="B509" s="62"/>
      <c r="G509" s="51"/>
    </row>
    <row r="510" spans="2:7" ht="11.25" customHeight="1">
      <c r="B510" s="62"/>
      <c r="G510" s="51"/>
    </row>
    <row r="511" spans="2:7" ht="11.25" customHeight="1">
      <c r="B511" s="62"/>
      <c r="G511" s="51"/>
    </row>
    <row r="512" spans="2:7" ht="11.25" customHeight="1">
      <c r="B512" s="62"/>
      <c r="G512" s="51"/>
    </row>
    <row r="513" spans="2:7" ht="11.25" customHeight="1">
      <c r="B513" s="62"/>
      <c r="G513" s="51"/>
    </row>
    <row r="514" spans="2:7" ht="11.25" customHeight="1">
      <c r="B514" s="62"/>
      <c r="G514" s="51"/>
    </row>
    <row r="515" spans="2:7" ht="11.25" customHeight="1">
      <c r="B515" s="62"/>
      <c r="G515" s="51"/>
    </row>
    <row r="516" spans="2:7" ht="11.25" customHeight="1">
      <c r="B516" s="62"/>
      <c r="G516" s="51"/>
    </row>
    <row r="517" spans="2:7" ht="11.25" customHeight="1">
      <c r="B517" s="62"/>
      <c r="G517" s="51"/>
    </row>
    <row r="518" spans="2:7" ht="11.25" customHeight="1">
      <c r="B518" s="62"/>
    </row>
    <row r="519" spans="2:7" ht="11.25" customHeight="1">
      <c r="B519" s="62"/>
    </row>
    <row r="520" spans="2:7" ht="11.25" customHeight="1">
      <c r="B520" s="62"/>
      <c r="C520" s="62"/>
      <c r="D520" s="62"/>
    </row>
    <row r="521" spans="2:7" ht="11.25" customHeight="1">
      <c r="B521" s="62"/>
      <c r="C521" s="62"/>
      <c r="D521" s="62"/>
    </row>
    <row r="522" spans="2:7" ht="11.25" customHeight="1">
      <c r="B522" s="62"/>
      <c r="C522" s="62"/>
      <c r="D522" s="62"/>
    </row>
    <row r="523" spans="2:7" ht="11.25" customHeight="1">
      <c r="B523" s="62"/>
      <c r="C523" s="62"/>
      <c r="D523" s="62"/>
    </row>
    <row r="524" spans="2:7" ht="11.25" customHeight="1">
      <c r="B524" s="62"/>
      <c r="C524" s="62"/>
      <c r="D524" s="62"/>
    </row>
    <row r="525" spans="2:7" ht="11.25" customHeight="1">
      <c r="B525" s="62"/>
      <c r="C525" s="62"/>
      <c r="D525" s="62"/>
    </row>
    <row r="526" spans="2:7" ht="11.25" customHeight="1">
      <c r="B526" s="62"/>
      <c r="C526" s="62"/>
      <c r="D526" s="62"/>
    </row>
    <row r="527" spans="2:7" ht="11.25" customHeight="1">
      <c r="B527" s="62"/>
      <c r="C527" s="62"/>
      <c r="D527" s="62"/>
    </row>
    <row r="528" spans="2:7" ht="11.25" customHeight="1">
      <c r="B528" s="62"/>
    </row>
    <row r="529" spans="1:9" ht="11.25" customHeight="1">
      <c r="B529" s="62"/>
    </row>
    <row r="530" spans="1:9" ht="11.25" customHeight="1">
      <c r="B530" s="62"/>
    </row>
    <row r="531" spans="1:9" ht="11.25" customHeight="1">
      <c r="B531" s="62"/>
    </row>
    <row r="532" spans="1:9" ht="11.25" customHeight="1">
      <c r="B532" s="62"/>
    </row>
    <row r="533" spans="1:9" ht="11.25" customHeight="1">
      <c r="B533" s="62"/>
    </row>
    <row r="534" spans="1:9" ht="11.25" customHeight="1">
      <c r="B534" s="62"/>
    </row>
    <row r="535" spans="1:9" ht="11.25" customHeight="1">
      <c r="B535" s="62"/>
    </row>
    <row r="536" spans="1:9" ht="11.25" customHeight="1">
      <c r="B536" s="62"/>
    </row>
    <row r="537" spans="1:9" ht="11.25" customHeight="1">
      <c r="B537" s="62"/>
    </row>
    <row r="538" spans="1:9" ht="11.25" customHeight="1">
      <c r="B538" s="62"/>
    </row>
    <row r="539" spans="1:9" ht="11.25" customHeight="1">
      <c r="B539" s="62"/>
    </row>
    <row r="540" spans="1:9" ht="11.25" customHeight="1">
      <c r="B540" s="62"/>
    </row>
    <row r="541" spans="1:9" ht="11.25" customHeight="1">
      <c r="A541" s="63"/>
      <c r="B541" s="64"/>
      <c r="C541" s="63"/>
      <c r="D541" s="63"/>
      <c r="E541" s="63"/>
      <c r="F541" s="63"/>
      <c r="G541" s="65"/>
      <c r="H541" s="66"/>
      <c r="I541" s="66"/>
    </row>
    <row r="542" spans="1:9" ht="11.25" customHeight="1">
      <c r="A542" s="63"/>
      <c r="B542" s="63"/>
      <c r="C542" s="63"/>
      <c r="D542" s="63"/>
      <c r="E542" s="63"/>
      <c r="F542" s="63"/>
      <c r="G542" s="65"/>
      <c r="H542" s="66"/>
      <c r="I542" s="66"/>
    </row>
    <row r="543" spans="1:9" ht="11.25" customHeight="1">
      <c r="B543" s="62"/>
    </row>
    <row r="545" spans="2:7" ht="11.25" customHeight="1">
      <c r="B545" s="62"/>
      <c r="G545" s="51"/>
    </row>
    <row r="546" spans="2:7" ht="11.25" customHeight="1">
      <c r="B546" s="62"/>
      <c r="G546" s="51"/>
    </row>
    <row r="547" spans="2:7" ht="11.25" customHeight="1">
      <c r="B547" s="62"/>
      <c r="G547" s="51"/>
    </row>
    <row r="548" spans="2:7" ht="11.25" customHeight="1">
      <c r="B548" s="62"/>
    </row>
    <row r="550" spans="2:7" ht="11.25" customHeight="1">
      <c r="B550" s="62"/>
    </row>
    <row r="551" spans="2:7" ht="11.25" customHeight="1">
      <c r="B551" s="62"/>
    </row>
    <row r="552" spans="2:7" ht="11.25" customHeight="1">
      <c r="B552" s="62"/>
    </row>
    <row r="553" spans="2:7" ht="11.25" customHeight="1">
      <c r="B553" s="62"/>
    </row>
    <row r="554" spans="2:7" ht="11.25" customHeight="1">
      <c r="B554" s="62"/>
    </row>
    <row r="555" spans="2:7" ht="11.25" customHeight="1">
      <c r="B555" s="62"/>
    </row>
    <row r="556" spans="2:7" ht="11.25" customHeight="1">
      <c r="B556" s="62"/>
      <c r="G556" s="51"/>
    </row>
    <row r="557" spans="2:7" ht="11.25" customHeight="1">
      <c r="B557" s="62"/>
      <c r="G557" s="51"/>
    </row>
    <row r="558" spans="2:7" ht="11.25" customHeight="1">
      <c r="B558" s="62"/>
      <c r="G558" s="51"/>
    </row>
    <row r="559" spans="2:7" ht="11.25" customHeight="1">
      <c r="B559" s="62"/>
      <c r="G559" s="51"/>
    </row>
    <row r="560" spans="2:7" ht="11.25" customHeight="1">
      <c r="B560" s="62"/>
    </row>
    <row r="561" spans="2:7" ht="11.25" customHeight="1">
      <c r="B561" s="62"/>
    </row>
    <row r="562" spans="2:7" ht="11.25" customHeight="1">
      <c r="B562" s="62"/>
    </row>
    <row r="563" spans="2:7" ht="11.25" customHeight="1">
      <c r="B563" s="62"/>
    </row>
    <row r="564" spans="2:7" ht="11.25" customHeight="1">
      <c r="B564" s="62"/>
    </row>
    <row r="565" spans="2:7" ht="11.25" customHeight="1">
      <c r="B565" s="62"/>
    </row>
    <row r="566" spans="2:7" ht="11.25" customHeight="1">
      <c r="B566" s="62"/>
    </row>
    <row r="567" spans="2:7" ht="11.25" customHeight="1">
      <c r="B567" s="62"/>
    </row>
    <row r="568" spans="2:7" ht="11.25" customHeight="1">
      <c r="B568" s="62"/>
    </row>
    <row r="569" spans="2:7" ht="11.25" customHeight="1">
      <c r="B569" s="62"/>
    </row>
    <row r="570" spans="2:7" ht="11.25" customHeight="1">
      <c r="B570" s="62"/>
    </row>
    <row r="571" spans="2:7" ht="11.25" customHeight="1">
      <c r="B571" s="62"/>
    </row>
    <row r="572" spans="2:7" ht="11.25" customHeight="1">
      <c r="B572" s="62"/>
    </row>
    <row r="573" spans="2:7" ht="11.25" customHeight="1">
      <c r="B573" s="62"/>
      <c r="G573" s="51"/>
    </row>
    <row r="574" spans="2:7" ht="11.25" customHeight="1">
      <c r="B574" s="62"/>
      <c r="G574" s="51"/>
    </row>
    <row r="575" spans="2:7" ht="11.25" customHeight="1">
      <c r="B575" s="62"/>
    </row>
    <row r="576" spans="2:7" ht="11.25" customHeight="1">
      <c r="B576" s="62"/>
    </row>
    <row r="577" spans="2:7" ht="11.25" customHeight="1">
      <c r="B577" s="62"/>
    </row>
    <row r="578" spans="2:7" ht="11.25" customHeight="1">
      <c r="B578" s="62"/>
    </row>
    <row r="579" spans="2:7" ht="11.25" customHeight="1">
      <c r="B579" s="62"/>
    </row>
    <row r="580" spans="2:7" ht="11.25" customHeight="1">
      <c r="B580" s="62"/>
    </row>
    <row r="581" spans="2:7" ht="11.25" customHeight="1">
      <c r="B581" s="62"/>
    </row>
    <row r="582" spans="2:7" ht="11.25" customHeight="1">
      <c r="B582" s="62"/>
    </row>
    <row r="583" spans="2:7" ht="11.25" customHeight="1">
      <c r="B583" s="62"/>
      <c r="G583" s="51"/>
    </row>
    <row r="584" spans="2:7" ht="11.25" customHeight="1">
      <c r="B584" s="62"/>
      <c r="G584" s="51"/>
    </row>
    <row r="585" spans="2:7" ht="11.25" customHeight="1">
      <c r="B585" s="62"/>
      <c r="G585" s="51"/>
    </row>
    <row r="586" spans="2:7" ht="11.25" customHeight="1">
      <c r="B586" s="62"/>
      <c r="G586" s="51"/>
    </row>
    <row r="587" spans="2:7" ht="11.25" customHeight="1">
      <c r="B587" s="62"/>
    </row>
    <row r="588" spans="2:7" ht="11.25" customHeight="1">
      <c r="B588" s="62"/>
      <c r="G588" s="67"/>
    </row>
    <row r="589" spans="2:7" ht="11.25" customHeight="1">
      <c r="B589" s="62"/>
    </row>
    <row r="590" spans="2:7" ht="11.25" customHeight="1">
      <c r="B590" s="62"/>
    </row>
    <row r="591" spans="2:7" ht="11.25" customHeight="1">
      <c r="B591" s="62"/>
    </row>
    <row r="592" spans="2:7" ht="11.25" customHeight="1">
      <c r="B592" s="62"/>
    </row>
    <row r="593" spans="2:2" ht="11.25" customHeight="1">
      <c r="B593" s="62"/>
    </row>
    <row r="594" spans="2:2" ht="11.25" customHeight="1">
      <c r="B594" s="62"/>
    </row>
    <row r="595" spans="2:2" ht="11.25" customHeight="1">
      <c r="B595" s="62"/>
    </row>
    <row r="596" spans="2:2" ht="11.25" customHeight="1">
      <c r="B596" s="62"/>
    </row>
    <row r="597" spans="2:2" ht="11.25" customHeight="1">
      <c r="B597" s="62"/>
    </row>
    <row r="598" spans="2:2" ht="11.25" customHeight="1">
      <c r="B598" s="62"/>
    </row>
    <row r="599" spans="2:2" ht="11.25" customHeight="1">
      <c r="B599" s="62"/>
    </row>
    <row r="600" spans="2:2" ht="11.25" customHeight="1">
      <c r="B600" s="62"/>
    </row>
    <row r="601" spans="2:2" ht="11.25" customHeight="1">
      <c r="B601" s="62"/>
    </row>
    <row r="602" spans="2:2" ht="11.25" customHeight="1">
      <c r="B602" s="62"/>
    </row>
    <row r="603" spans="2:2" ht="11.25" customHeight="1">
      <c r="B603" s="62"/>
    </row>
    <row r="604" spans="2:2" ht="11.25" customHeight="1">
      <c r="B604" s="62"/>
    </row>
    <row r="605" spans="2:2" ht="11.25" customHeight="1">
      <c r="B605" s="62"/>
    </row>
    <row r="606" spans="2:2" ht="11.25" customHeight="1">
      <c r="B606" s="62"/>
    </row>
    <row r="607" spans="2:2" ht="11.25" customHeight="1">
      <c r="B607" s="62"/>
    </row>
    <row r="608" spans="2:2" ht="11.25" customHeight="1">
      <c r="B608" s="62"/>
    </row>
    <row r="609" spans="2:2" ht="11.25" customHeight="1">
      <c r="B609" s="62"/>
    </row>
    <row r="610" spans="2:2" ht="11.25" customHeight="1">
      <c r="B610" s="62"/>
    </row>
    <row r="611" spans="2:2" ht="11.25" customHeight="1">
      <c r="B611" s="62"/>
    </row>
    <row r="612" spans="2:2" ht="11.25" customHeight="1">
      <c r="B612" s="62"/>
    </row>
    <row r="613" spans="2:2" ht="11.25" customHeight="1">
      <c r="B613" s="62"/>
    </row>
    <row r="614" spans="2:2" ht="11.25" customHeight="1">
      <c r="B614" s="62"/>
    </row>
    <row r="615" spans="2:2" ht="11.25" customHeight="1">
      <c r="B615" s="62"/>
    </row>
    <row r="616" spans="2:2" ht="11.25" customHeight="1">
      <c r="B616" s="62"/>
    </row>
    <row r="617" spans="2:2" ht="11.25" customHeight="1">
      <c r="B617" s="62"/>
    </row>
  </sheetData>
  <phoneticPr fontId="6"/>
  <dataValidations disablePrompts="1" count="1">
    <dataValidation type="list" allowBlank="1" showInputMessage="1" showErrorMessage="1" sqref="C221:C222 C9:C75" xr:uid="{51DA4F98-D320-5540-B2CE-B8664298C734}">
      <formula1>"追加,変更,削除"</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3DABE-AA9B-A349-8D49-74BA851E060B}">
  <sheetPr>
    <pageSetUpPr fitToPage="1"/>
  </sheetPr>
  <dimension ref="B1:M89"/>
  <sheetViews>
    <sheetView showGridLines="0" tabSelected="1" view="pageBreakPreview" zoomScale="70" zoomScaleNormal="70" zoomScaleSheetLayoutView="70" workbookViewId="0">
      <pane xSplit="1" ySplit="15" topLeftCell="B16" activePane="bottomRight" state="frozen"/>
      <selection pane="topRight" activeCell="B6" sqref="B6:C6"/>
      <selection pane="bottomLeft" activeCell="B6" sqref="B6:C6"/>
      <selection pane="bottomRight" activeCell="I30" sqref="I30"/>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13.1640625" style="88" customWidth="1"/>
    <col min="9" max="9" width="5.6640625" style="88" customWidth="1"/>
    <col min="10" max="10" width="50.6640625" style="87" customWidth="1"/>
    <col min="11" max="14" width="3.6640625" style="87" customWidth="1"/>
    <col min="15" max="16384" width="3.6640625" style="87"/>
  </cols>
  <sheetData>
    <row r="1" spans="2:13" ht="4.5" customHeight="1"/>
    <row r="2" spans="2:13" ht="15" customHeight="1">
      <c r="B2" s="350"/>
      <c r="C2" s="351"/>
      <c r="D2" s="89"/>
      <c r="E2" s="89" t="s">
        <v>278</v>
      </c>
      <c r="F2" s="89" t="s">
        <v>279</v>
      </c>
      <c r="G2" s="90" t="s">
        <v>280</v>
      </c>
      <c r="H2" s="314"/>
      <c r="I2" s="91"/>
      <c r="J2" s="92"/>
    </row>
    <row r="3" spans="2:13" ht="25" customHeight="1">
      <c r="B3" s="352" t="s">
        <v>281</v>
      </c>
      <c r="C3" s="353"/>
      <c r="D3" s="93" t="s">
        <v>282</v>
      </c>
      <c r="E3" s="93">
        <v>46034</v>
      </c>
      <c r="F3" s="94" t="s">
        <v>1599</v>
      </c>
      <c r="G3" s="95" t="s">
        <v>1606</v>
      </c>
      <c r="H3" s="314"/>
      <c r="I3" s="91"/>
      <c r="J3" s="92"/>
    </row>
    <row r="4" spans="2:13" ht="25" customHeight="1">
      <c r="B4" s="354"/>
      <c r="C4" s="355"/>
      <c r="D4" s="94" t="s">
        <v>283</v>
      </c>
      <c r="E4" s="94"/>
      <c r="F4" s="94"/>
      <c r="G4" s="95"/>
      <c r="H4" s="314"/>
      <c r="I4" s="91"/>
      <c r="J4" s="92"/>
    </row>
    <row r="5" spans="2:13" ht="25" customHeight="1">
      <c r="B5" s="352" t="s">
        <v>284</v>
      </c>
      <c r="C5" s="353"/>
      <c r="D5" s="94" t="s">
        <v>285</v>
      </c>
      <c r="E5" s="94"/>
      <c r="F5" s="95"/>
      <c r="G5" s="96"/>
      <c r="H5" s="318"/>
      <c r="I5" s="91"/>
      <c r="J5" s="92"/>
    </row>
    <row r="6" spans="2:13" ht="25" customHeight="1">
      <c r="B6" s="354"/>
      <c r="C6" s="355"/>
      <c r="D6" s="94" t="s">
        <v>286</v>
      </c>
      <c r="E6" s="94"/>
      <c r="F6" s="95"/>
      <c r="G6" s="96"/>
      <c r="H6" s="318"/>
      <c r="I6" s="91"/>
      <c r="J6" s="92"/>
    </row>
    <row r="7" spans="2:13" ht="16.5" customHeight="1">
      <c r="B7" s="316"/>
      <c r="C7" s="316"/>
      <c r="D7" s="314"/>
      <c r="E7" s="314"/>
      <c r="F7" s="314"/>
      <c r="G7" s="96"/>
      <c r="H7" s="318"/>
      <c r="I7" s="91"/>
      <c r="J7" s="92"/>
    </row>
    <row r="8" spans="2:13" ht="20.25" customHeight="1">
      <c r="B8" s="316"/>
      <c r="C8" s="349" t="s">
        <v>287</v>
      </c>
      <c r="D8" s="349"/>
      <c r="E8" s="314"/>
      <c r="F8" s="314"/>
      <c r="G8" s="96"/>
      <c r="H8" s="318"/>
      <c r="I8" s="91"/>
      <c r="J8" s="92"/>
    </row>
    <row r="9" spans="2:13" ht="20.25" customHeight="1">
      <c r="B9" s="316"/>
      <c r="C9" s="317"/>
      <c r="D9" s="95" t="s">
        <v>288</v>
      </c>
      <c r="E9" s="314"/>
      <c r="F9" s="314"/>
      <c r="G9" s="96"/>
      <c r="H9" s="318"/>
      <c r="I9" s="91"/>
      <c r="J9" s="92"/>
      <c r="M9" s="87" t="b">
        <v>1</v>
      </c>
    </row>
    <row r="10" spans="2:13" ht="20.25" customHeight="1">
      <c r="B10" s="316"/>
      <c r="C10" s="317"/>
      <c r="D10" s="95" t="s">
        <v>289</v>
      </c>
      <c r="E10" s="314"/>
      <c r="F10" s="314"/>
      <c r="G10" s="96"/>
      <c r="H10" s="318"/>
      <c r="I10" s="91"/>
      <c r="J10" s="92"/>
      <c r="M10" s="87" t="b">
        <v>0</v>
      </c>
    </row>
    <row r="11" spans="2:13" ht="20.25" customHeight="1">
      <c r="B11" s="316"/>
      <c r="C11" s="317"/>
      <c r="D11" s="95" t="s">
        <v>290</v>
      </c>
      <c r="E11" s="314"/>
      <c r="F11" s="314"/>
      <c r="G11" s="96"/>
      <c r="H11" s="318"/>
      <c r="I11" s="91"/>
      <c r="J11" s="92"/>
      <c r="M11" s="87" t="b">
        <v>0</v>
      </c>
    </row>
    <row r="12" spans="2:13" ht="20.25" customHeight="1">
      <c r="B12" s="316"/>
      <c r="C12" s="317"/>
      <c r="D12" s="95" t="s">
        <v>291</v>
      </c>
      <c r="E12" s="314"/>
      <c r="F12" s="314"/>
      <c r="G12" s="96"/>
      <c r="H12" s="318"/>
      <c r="I12" s="91"/>
      <c r="J12" s="92"/>
      <c r="M12" s="87" t="b">
        <v>0</v>
      </c>
    </row>
    <row r="13" spans="2:13" ht="20.25" customHeight="1">
      <c r="B13" s="316"/>
      <c r="C13" s="317"/>
      <c r="D13" s="95" t="s">
        <v>292</v>
      </c>
      <c r="E13" s="314"/>
      <c r="F13" s="314"/>
      <c r="G13" s="96"/>
      <c r="H13" s="318"/>
      <c r="I13" s="91"/>
      <c r="J13" s="92"/>
      <c r="M13" s="87" t="b">
        <v>0</v>
      </c>
    </row>
    <row r="14" spans="2:13" ht="16.5" customHeight="1"/>
    <row r="15" spans="2:13" ht="36" customHeight="1" thickBot="1">
      <c r="B15" s="356" t="s">
        <v>293</v>
      </c>
      <c r="C15" s="357"/>
      <c r="D15" s="332" t="s">
        <v>294</v>
      </c>
      <c r="E15" s="332" t="s">
        <v>295</v>
      </c>
      <c r="F15" s="332" t="s">
        <v>296</v>
      </c>
      <c r="G15" s="332" t="s">
        <v>297</v>
      </c>
      <c r="H15" s="321" t="s">
        <v>298</v>
      </c>
      <c r="I15" s="97" t="s">
        <v>299</v>
      </c>
      <c r="J15" s="98" t="s">
        <v>300</v>
      </c>
    </row>
    <row r="16" spans="2:13" ht="20.25" customHeight="1" thickTop="1">
      <c r="B16" s="99">
        <v>1</v>
      </c>
      <c r="C16" s="100" t="s">
        <v>301</v>
      </c>
      <c r="D16" s="101"/>
      <c r="E16" s="102"/>
      <c r="F16" s="102"/>
      <c r="G16" s="102"/>
      <c r="H16" s="103"/>
      <c r="I16" s="103"/>
      <c r="J16" s="104"/>
    </row>
    <row r="17" spans="2:11" ht="34">
      <c r="B17" s="345" t="s">
        <v>302</v>
      </c>
      <c r="C17" s="346"/>
      <c r="D17" s="84"/>
      <c r="E17" s="84" t="s">
        <v>303</v>
      </c>
      <c r="F17" s="84" t="s">
        <v>304</v>
      </c>
      <c r="G17" s="84"/>
      <c r="H17" s="319" t="s">
        <v>305</v>
      </c>
      <c r="I17" s="81" t="s">
        <v>1600</v>
      </c>
      <c r="J17" s="82"/>
    </row>
    <row r="18" spans="2:11" ht="34">
      <c r="B18" s="345" t="s">
        <v>306</v>
      </c>
      <c r="C18" s="346"/>
      <c r="D18" s="105"/>
      <c r="E18" s="28" t="s">
        <v>307</v>
      </c>
      <c r="F18" s="28" t="s">
        <v>308</v>
      </c>
      <c r="G18" s="84"/>
      <c r="H18" s="319" t="s">
        <v>309</v>
      </c>
      <c r="I18" s="81" t="s">
        <v>1600</v>
      </c>
      <c r="J18" s="82"/>
      <c r="K18" s="87" t="s">
        <v>310</v>
      </c>
    </row>
    <row r="19" spans="2:11" ht="20.25" customHeight="1">
      <c r="B19" s="106">
        <v>2</v>
      </c>
      <c r="C19" s="107" t="s">
        <v>311</v>
      </c>
      <c r="D19" s="108"/>
      <c r="E19" s="109"/>
      <c r="F19" s="109"/>
      <c r="G19" s="109"/>
      <c r="H19" s="108"/>
      <c r="I19" s="108"/>
      <c r="J19" s="109"/>
      <c r="K19" s="87" t="s">
        <v>312</v>
      </c>
    </row>
    <row r="20" spans="2:11" ht="68">
      <c r="B20" s="345" t="s">
        <v>313</v>
      </c>
      <c r="C20" s="346"/>
      <c r="D20" s="79" t="s">
        <v>314</v>
      </c>
      <c r="E20" s="27" t="s">
        <v>315</v>
      </c>
      <c r="F20" s="333" t="s">
        <v>1571</v>
      </c>
      <c r="G20" s="28"/>
      <c r="H20" s="320" t="str">
        <f t="shared" ref="H20:H36" si="0">IF($M$9=TRUE,"〇","-")</f>
        <v>〇</v>
      </c>
      <c r="I20" s="81" t="s">
        <v>1600</v>
      </c>
      <c r="J20" s="82"/>
      <c r="K20" s="87" t="s">
        <v>316</v>
      </c>
    </row>
    <row r="21" spans="2:11" ht="34">
      <c r="B21" s="345" t="s">
        <v>317</v>
      </c>
      <c r="C21" s="346"/>
      <c r="D21" s="29"/>
      <c r="E21" s="28" t="s">
        <v>319</v>
      </c>
      <c r="F21" s="28" t="s">
        <v>1572</v>
      </c>
      <c r="G21" s="28"/>
      <c r="H21" s="320" t="str">
        <f t="shared" si="0"/>
        <v>〇</v>
      </c>
      <c r="I21" s="81" t="s">
        <v>1600</v>
      </c>
      <c r="J21" s="82"/>
    </row>
    <row r="22" spans="2:11" ht="34">
      <c r="B22" s="345" t="s">
        <v>318</v>
      </c>
      <c r="C22" s="346"/>
      <c r="D22" s="29"/>
      <c r="E22" s="27" t="s">
        <v>322</v>
      </c>
      <c r="F22" s="28" t="s">
        <v>323</v>
      </c>
      <c r="G22" s="28"/>
      <c r="H22" s="320" t="str">
        <f t="shared" si="0"/>
        <v>〇</v>
      </c>
      <c r="I22" s="81" t="s">
        <v>1600</v>
      </c>
      <c r="J22" s="340"/>
    </row>
    <row r="23" spans="2:11" ht="34">
      <c r="B23" s="345" t="s">
        <v>321</v>
      </c>
      <c r="C23" s="346"/>
      <c r="D23" s="29"/>
      <c r="E23" s="28" t="s">
        <v>328</v>
      </c>
      <c r="F23" s="28" t="s">
        <v>329</v>
      </c>
      <c r="G23" s="28"/>
      <c r="H23" s="320" t="str">
        <f t="shared" si="0"/>
        <v>〇</v>
      </c>
      <c r="I23" s="81" t="s">
        <v>1600</v>
      </c>
      <c r="J23" s="82"/>
    </row>
    <row r="24" spans="2:11" ht="51">
      <c r="B24" s="345" t="s">
        <v>324</v>
      </c>
      <c r="C24" s="346"/>
      <c r="D24" s="29"/>
      <c r="E24" s="27" t="s">
        <v>331</v>
      </c>
      <c r="F24" s="28" t="s">
        <v>332</v>
      </c>
      <c r="G24" s="28" t="s">
        <v>333</v>
      </c>
      <c r="H24" s="320" t="str">
        <f t="shared" si="0"/>
        <v>〇</v>
      </c>
      <c r="I24" s="81" t="s">
        <v>1601</v>
      </c>
      <c r="J24" s="344" t="s">
        <v>1602</v>
      </c>
    </row>
    <row r="25" spans="2:11" ht="68">
      <c r="B25" s="345" t="s">
        <v>326</v>
      </c>
      <c r="C25" s="346"/>
      <c r="D25" s="29"/>
      <c r="E25" s="28" t="s">
        <v>337</v>
      </c>
      <c r="F25" s="28" t="s">
        <v>338</v>
      </c>
      <c r="G25" s="28"/>
      <c r="H25" s="320" t="str">
        <f t="shared" si="0"/>
        <v>〇</v>
      </c>
      <c r="I25" s="81" t="s">
        <v>1600</v>
      </c>
      <c r="J25" s="82"/>
    </row>
    <row r="26" spans="2:11" ht="68">
      <c r="B26" s="345" t="s">
        <v>327</v>
      </c>
      <c r="C26" s="346"/>
      <c r="D26" s="29"/>
      <c r="E26" s="27" t="s">
        <v>340</v>
      </c>
      <c r="F26" s="28" t="s">
        <v>341</v>
      </c>
      <c r="G26" s="28"/>
      <c r="H26" s="320" t="str">
        <f t="shared" si="0"/>
        <v>〇</v>
      </c>
      <c r="I26" s="81" t="s">
        <v>1600</v>
      </c>
      <c r="J26" s="82"/>
    </row>
    <row r="27" spans="2:11" ht="68">
      <c r="B27" s="345" t="s">
        <v>330</v>
      </c>
      <c r="C27" s="346"/>
      <c r="D27" s="29"/>
      <c r="E27" s="28" t="s">
        <v>348</v>
      </c>
      <c r="F27" s="28" t="s">
        <v>1547</v>
      </c>
      <c r="G27" s="28"/>
      <c r="H27" s="320" t="str">
        <f t="shared" si="0"/>
        <v>〇</v>
      </c>
      <c r="I27" s="81" t="s">
        <v>1601</v>
      </c>
      <c r="J27" s="344" t="s">
        <v>1602</v>
      </c>
    </row>
    <row r="28" spans="2:11" ht="68">
      <c r="B28" s="345" t="s">
        <v>334</v>
      </c>
      <c r="C28" s="346"/>
      <c r="D28" s="29"/>
      <c r="E28" s="28" t="s">
        <v>352</v>
      </c>
      <c r="F28" s="28" t="s">
        <v>353</v>
      </c>
      <c r="G28" s="28"/>
      <c r="H28" s="320" t="str">
        <f t="shared" si="0"/>
        <v>〇</v>
      </c>
      <c r="I28" s="81" t="s">
        <v>1600</v>
      </c>
      <c r="J28" s="82"/>
    </row>
    <row r="29" spans="2:11" ht="34">
      <c r="B29" s="345" t="s">
        <v>335</v>
      </c>
      <c r="C29" s="346"/>
      <c r="D29" s="29"/>
      <c r="E29" s="28" t="s">
        <v>355</v>
      </c>
      <c r="F29" s="333" t="s">
        <v>1573</v>
      </c>
      <c r="G29" s="28"/>
      <c r="H29" s="320" t="str">
        <f t="shared" si="0"/>
        <v>〇</v>
      </c>
      <c r="I29" s="81" t="s">
        <v>1600</v>
      </c>
      <c r="J29" s="82"/>
    </row>
    <row r="30" spans="2:11" ht="19">
      <c r="B30" s="345" t="s">
        <v>336</v>
      </c>
      <c r="C30" s="346"/>
      <c r="D30" s="29"/>
      <c r="E30" s="28" t="s">
        <v>357</v>
      </c>
      <c r="F30" s="28" t="s">
        <v>358</v>
      </c>
      <c r="G30" s="28"/>
      <c r="H30" s="320" t="str">
        <f t="shared" si="0"/>
        <v>〇</v>
      </c>
      <c r="I30" s="81" t="s">
        <v>1600</v>
      </c>
      <c r="J30" s="82"/>
    </row>
    <row r="31" spans="2:11" ht="34">
      <c r="B31" s="345" t="s">
        <v>339</v>
      </c>
      <c r="C31" s="346"/>
      <c r="D31" s="29"/>
      <c r="E31" s="28" t="s">
        <v>360</v>
      </c>
      <c r="F31" s="28" t="s">
        <v>361</v>
      </c>
      <c r="G31" s="28"/>
      <c r="H31" s="320" t="str">
        <f t="shared" si="0"/>
        <v>〇</v>
      </c>
      <c r="I31" s="81" t="s">
        <v>1600</v>
      </c>
      <c r="J31" s="82"/>
    </row>
    <row r="32" spans="2:11" ht="34">
      <c r="B32" s="345" t="s">
        <v>342</v>
      </c>
      <c r="C32" s="346"/>
      <c r="D32" s="29"/>
      <c r="E32" s="28" t="s">
        <v>363</v>
      </c>
      <c r="F32" s="28" t="s">
        <v>364</v>
      </c>
      <c r="G32" s="28"/>
      <c r="H32" s="320" t="str">
        <f t="shared" si="0"/>
        <v>〇</v>
      </c>
      <c r="I32" s="81" t="s">
        <v>1601</v>
      </c>
      <c r="J32" s="341" t="s">
        <v>1603</v>
      </c>
    </row>
    <row r="33" spans="2:10" ht="51">
      <c r="B33" s="345" t="s">
        <v>344</v>
      </c>
      <c r="C33" s="346"/>
      <c r="D33" s="29"/>
      <c r="E33" s="27" t="s">
        <v>366</v>
      </c>
      <c r="F33" s="28" t="s">
        <v>367</v>
      </c>
      <c r="G33" s="28"/>
      <c r="H33" s="320" t="str">
        <f t="shared" si="0"/>
        <v>〇</v>
      </c>
      <c r="I33" s="81" t="s">
        <v>1601</v>
      </c>
      <c r="J33" s="341" t="s">
        <v>1604</v>
      </c>
    </row>
    <row r="34" spans="2:10" ht="85">
      <c r="B34" s="345" t="s">
        <v>345</v>
      </c>
      <c r="C34" s="346"/>
      <c r="D34" s="78"/>
      <c r="E34" s="30"/>
      <c r="F34" s="28" t="s">
        <v>368</v>
      </c>
      <c r="G34" s="28"/>
      <c r="H34" s="320" t="str">
        <f t="shared" si="0"/>
        <v>〇</v>
      </c>
      <c r="I34" s="81" t="s">
        <v>1601</v>
      </c>
      <c r="J34" s="341" t="s">
        <v>1604</v>
      </c>
    </row>
    <row r="35" spans="2:10" ht="68">
      <c r="B35" s="345" t="s">
        <v>347</v>
      </c>
      <c r="C35" s="346"/>
      <c r="D35" s="29"/>
      <c r="E35" s="29" t="s">
        <v>370</v>
      </c>
      <c r="F35" s="28" t="s">
        <v>371</v>
      </c>
      <c r="G35" s="28" t="s">
        <v>372</v>
      </c>
      <c r="H35" s="320" t="str">
        <f t="shared" si="0"/>
        <v>〇</v>
      </c>
      <c r="I35" s="81" t="s">
        <v>1601</v>
      </c>
      <c r="J35" s="344" t="s">
        <v>1602</v>
      </c>
    </row>
    <row r="36" spans="2:10" ht="68">
      <c r="B36" s="345" t="s">
        <v>349</v>
      </c>
      <c r="C36" s="346"/>
      <c r="D36" s="78"/>
      <c r="E36" s="28" t="s">
        <v>374</v>
      </c>
      <c r="F36" s="28" t="s">
        <v>375</v>
      </c>
      <c r="G36" s="28" t="s">
        <v>376</v>
      </c>
      <c r="H36" s="320" t="str">
        <f t="shared" si="0"/>
        <v>〇</v>
      </c>
      <c r="I36" s="81" t="s">
        <v>1601</v>
      </c>
      <c r="J36" s="342" t="s">
        <v>1602</v>
      </c>
    </row>
    <row r="37" spans="2:10" ht="102">
      <c r="B37" s="345" t="s">
        <v>351</v>
      </c>
      <c r="C37" s="346"/>
      <c r="D37" s="79" t="s">
        <v>378</v>
      </c>
      <c r="E37" s="27" t="s">
        <v>379</v>
      </c>
      <c r="F37" s="28" t="s">
        <v>380</v>
      </c>
      <c r="G37" s="28"/>
      <c r="H37" s="320" t="str">
        <f t="shared" ref="H37:H54" si="1">IF($M$10=TRUE,"〇","-")</f>
        <v>-</v>
      </c>
      <c r="I37" s="81"/>
      <c r="J37" s="82"/>
    </row>
    <row r="38" spans="2:10" ht="51">
      <c r="B38" s="345" t="s">
        <v>354</v>
      </c>
      <c r="C38" s="346"/>
      <c r="D38" s="29"/>
      <c r="E38" s="30"/>
      <c r="F38" s="28" t="s">
        <v>382</v>
      </c>
      <c r="G38" s="28"/>
      <c r="H38" s="320" t="str">
        <f t="shared" si="1"/>
        <v>-</v>
      </c>
      <c r="I38" s="81"/>
      <c r="J38" s="82"/>
    </row>
    <row r="39" spans="2:10" ht="34">
      <c r="B39" s="345" t="s">
        <v>356</v>
      </c>
      <c r="C39" s="346"/>
      <c r="D39" s="29"/>
      <c r="E39" s="27" t="s">
        <v>322</v>
      </c>
      <c r="F39" s="28" t="s">
        <v>384</v>
      </c>
      <c r="G39" s="28"/>
      <c r="H39" s="320" t="str">
        <f t="shared" si="1"/>
        <v>-</v>
      </c>
      <c r="I39" s="81"/>
      <c r="J39" s="82"/>
    </row>
    <row r="40" spans="2:10" ht="34">
      <c r="B40" s="345" t="s">
        <v>359</v>
      </c>
      <c r="C40" s="346"/>
      <c r="D40" s="29"/>
      <c r="E40" s="29"/>
      <c r="F40" s="28" t="s">
        <v>325</v>
      </c>
      <c r="G40" s="28"/>
      <c r="H40" s="320" t="str">
        <f t="shared" si="1"/>
        <v>-</v>
      </c>
      <c r="I40" s="81"/>
      <c r="J40" s="82"/>
    </row>
    <row r="41" spans="2:10" ht="34">
      <c r="B41" s="345" t="s">
        <v>362</v>
      </c>
      <c r="C41" s="346"/>
      <c r="D41" s="29"/>
      <c r="E41" s="29"/>
      <c r="F41" s="28" t="s">
        <v>387</v>
      </c>
      <c r="G41" s="28"/>
      <c r="H41" s="320" t="str">
        <f t="shared" si="1"/>
        <v>-</v>
      </c>
      <c r="I41" s="81"/>
      <c r="J41" s="82"/>
    </row>
    <row r="42" spans="2:10" ht="34">
      <c r="B42" s="345" t="s">
        <v>365</v>
      </c>
      <c r="C42" s="346"/>
      <c r="D42" s="29"/>
      <c r="E42" s="30"/>
      <c r="F42" s="28" t="s">
        <v>346</v>
      </c>
      <c r="G42" s="28"/>
      <c r="H42" s="320" t="str">
        <f t="shared" si="1"/>
        <v>-</v>
      </c>
      <c r="I42" s="81"/>
      <c r="J42" s="82"/>
    </row>
    <row r="43" spans="2:10" ht="34">
      <c r="B43" s="345" t="s">
        <v>24</v>
      </c>
      <c r="C43" s="346"/>
      <c r="D43" s="29"/>
      <c r="E43" s="28" t="s">
        <v>337</v>
      </c>
      <c r="F43" s="28" t="s">
        <v>390</v>
      </c>
      <c r="G43" s="28"/>
      <c r="H43" s="320" t="str">
        <f t="shared" si="1"/>
        <v>-</v>
      </c>
      <c r="I43" s="81"/>
      <c r="J43" s="82"/>
    </row>
    <row r="44" spans="2:10" ht="34">
      <c r="B44" s="345" t="s">
        <v>369</v>
      </c>
      <c r="C44" s="346"/>
      <c r="D44" s="29"/>
      <c r="E44" s="27" t="s">
        <v>340</v>
      </c>
      <c r="F44" s="28" t="s">
        <v>392</v>
      </c>
      <c r="G44" s="28"/>
      <c r="H44" s="320" t="str">
        <f t="shared" si="1"/>
        <v>-</v>
      </c>
      <c r="I44" s="81"/>
      <c r="J44" s="82"/>
    </row>
    <row r="45" spans="2:10" ht="34">
      <c r="B45" s="345" t="s">
        <v>373</v>
      </c>
      <c r="C45" s="346"/>
      <c r="D45" s="29"/>
      <c r="E45" s="29"/>
      <c r="F45" s="28" t="s">
        <v>343</v>
      </c>
      <c r="G45" s="28"/>
      <c r="H45" s="320" t="str">
        <f t="shared" si="1"/>
        <v>-</v>
      </c>
      <c r="I45" s="81"/>
      <c r="J45" s="82"/>
    </row>
    <row r="46" spans="2:10" ht="68">
      <c r="B46" s="345" t="s">
        <v>377</v>
      </c>
      <c r="C46" s="346"/>
      <c r="D46" s="29"/>
      <c r="E46" s="29"/>
      <c r="F46" s="28" t="s">
        <v>395</v>
      </c>
      <c r="G46" s="28"/>
      <c r="H46" s="320" t="str">
        <f t="shared" si="1"/>
        <v>-</v>
      </c>
      <c r="I46" s="81"/>
      <c r="J46" s="82"/>
    </row>
    <row r="47" spans="2:10" ht="34">
      <c r="B47" s="345" t="s">
        <v>381</v>
      </c>
      <c r="C47" s="346"/>
      <c r="D47" s="29"/>
      <c r="E47" s="29"/>
      <c r="F47" s="28" t="s">
        <v>346</v>
      </c>
      <c r="G47" s="28"/>
      <c r="H47" s="320" t="str">
        <f t="shared" si="1"/>
        <v>-</v>
      </c>
      <c r="I47" s="81"/>
      <c r="J47" s="82"/>
    </row>
    <row r="48" spans="2:10" ht="85">
      <c r="B48" s="345" t="s">
        <v>383</v>
      </c>
      <c r="C48" s="346"/>
      <c r="D48" s="78"/>
      <c r="E48" s="27" t="s">
        <v>398</v>
      </c>
      <c r="F48" s="172" t="s">
        <v>399</v>
      </c>
      <c r="G48" s="28"/>
      <c r="H48" s="320" t="str">
        <f t="shared" si="1"/>
        <v>-</v>
      </c>
      <c r="I48" s="81"/>
      <c r="J48" s="82"/>
    </row>
    <row r="49" spans="2:10" ht="102">
      <c r="B49" s="345" t="s">
        <v>385</v>
      </c>
      <c r="C49" s="346"/>
      <c r="D49" s="78"/>
      <c r="E49" s="29"/>
      <c r="F49" s="172" t="s">
        <v>401</v>
      </c>
      <c r="G49" s="28"/>
      <c r="H49" s="320" t="str">
        <f t="shared" si="1"/>
        <v>-</v>
      </c>
      <c r="I49" s="81"/>
      <c r="J49" s="82"/>
    </row>
    <row r="50" spans="2:10" ht="68">
      <c r="B50" s="345" t="s">
        <v>386</v>
      </c>
      <c r="C50" s="346"/>
      <c r="D50" s="78"/>
      <c r="E50" s="30"/>
      <c r="F50" s="172" t="s">
        <v>403</v>
      </c>
      <c r="G50" s="28"/>
      <c r="H50" s="320" t="str">
        <f t="shared" si="1"/>
        <v>-</v>
      </c>
      <c r="I50" s="81"/>
      <c r="J50" s="82"/>
    </row>
    <row r="51" spans="2:10" ht="34">
      <c r="B51" s="345" t="s">
        <v>388</v>
      </c>
      <c r="C51" s="346"/>
      <c r="D51" s="29"/>
      <c r="E51" s="30" t="s">
        <v>405</v>
      </c>
      <c r="F51" s="28" t="s">
        <v>406</v>
      </c>
      <c r="G51" s="28"/>
      <c r="H51" s="320" t="str">
        <f t="shared" si="1"/>
        <v>-</v>
      </c>
      <c r="I51" s="81"/>
      <c r="J51" s="82"/>
    </row>
    <row r="52" spans="2:10" ht="51">
      <c r="B52" s="345" t="s">
        <v>389</v>
      </c>
      <c r="C52" s="346"/>
      <c r="D52" s="29"/>
      <c r="E52" s="27" t="s">
        <v>366</v>
      </c>
      <c r="F52" s="28" t="s">
        <v>367</v>
      </c>
      <c r="G52" s="28"/>
      <c r="H52" s="320" t="str">
        <f t="shared" si="1"/>
        <v>-</v>
      </c>
      <c r="I52" s="81"/>
      <c r="J52" s="82"/>
    </row>
    <row r="53" spans="2:10" ht="85">
      <c r="B53" s="345" t="s">
        <v>391</v>
      </c>
      <c r="C53" s="346"/>
      <c r="D53" s="29"/>
      <c r="E53" s="29"/>
      <c r="F53" s="28" t="s">
        <v>409</v>
      </c>
      <c r="G53" s="28"/>
      <c r="H53" s="320" t="str">
        <f t="shared" si="1"/>
        <v>-</v>
      </c>
      <c r="I53" s="81"/>
      <c r="J53" s="82"/>
    </row>
    <row r="54" spans="2:10" ht="51">
      <c r="B54" s="345" t="s">
        <v>393</v>
      </c>
      <c r="C54" s="346"/>
      <c r="D54" s="30"/>
      <c r="E54" s="30"/>
      <c r="F54" s="28" t="s">
        <v>411</v>
      </c>
      <c r="G54" s="28"/>
      <c r="H54" s="320" t="str">
        <f t="shared" si="1"/>
        <v>-</v>
      </c>
      <c r="I54" s="81"/>
      <c r="J54" s="82"/>
    </row>
    <row r="55" spans="2:10" ht="34">
      <c r="B55" s="345" t="s">
        <v>394</v>
      </c>
      <c r="C55" s="346"/>
      <c r="D55" s="27" t="s">
        <v>413</v>
      </c>
      <c r="E55" s="28" t="s">
        <v>355</v>
      </c>
      <c r="F55" s="28" t="s">
        <v>414</v>
      </c>
      <c r="G55" s="28"/>
      <c r="H55" s="320" t="str">
        <f t="shared" ref="H55:H63" si="2">IF($M$11=TRUE,"〇","-")</f>
        <v>-</v>
      </c>
      <c r="I55" s="81"/>
      <c r="J55" s="82"/>
    </row>
    <row r="56" spans="2:10" ht="34">
      <c r="B56" s="345" t="s">
        <v>396</v>
      </c>
      <c r="C56" s="346"/>
      <c r="D56" s="29"/>
      <c r="E56" s="27" t="s">
        <v>416</v>
      </c>
      <c r="F56" s="28" t="s">
        <v>417</v>
      </c>
      <c r="G56" s="28"/>
      <c r="H56" s="320" t="str">
        <f t="shared" si="2"/>
        <v>-</v>
      </c>
      <c r="I56" s="81"/>
      <c r="J56" s="82"/>
    </row>
    <row r="57" spans="2:10" ht="34">
      <c r="B57" s="345" t="s">
        <v>397</v>
      </c>
      <c r="C57" s="346"/>
      <c r="D57" s="29"/>
      <c r="E57" s="30"/>
      <c r="F57" s="28" t="s">
        <v>419</v>
      </c>
      <c r="G57" s="28"/>
      <c r="H57" s="320" t="str">
        <f t="shared" si="2"/>
        <v>-</v>
      </c>
      <c r="I57" s="81"/>
      <c r="J57" s="82"/>
    </row>
    <row r="58" spans="2:10" ht="34">
      <c r="B58" s="345" t="s">
        <v>400</v>
      </c>
      <c r="C58" s="346"/>
      <c r="D58" s="29"/>
      <c r="E58" s="28" t="s">
        <v>337</v>
      </c>
      <c r="F58" s="28" t="s">
        <v>390</v>
      </c>
      <c r="G58" s="28"/>
      <c r="H58" s="320" t="str">
        <f t="shared" si="2"/>
        <v>-</v>
      </c>
      <c r="I58" s="81"/>
      <c r="J58" s="82"/>
    </row>
    <row r="59" spans="2:10" ht="34">
      <c r="B59" s="345" t="s">
        <v>402</v>
      </c>
      <c r="C59" s="346"/>
      <c r="D59" s="29"/>
      <c r="E59" s="28" t="s">
        <v>422</v>
      </c>
      <c r="F59" s="28" t="s">
        <v>423</v>
      </c>
      <c r="G59" s="28"/>
      <c r="H59" s="320" t="str">
        <f t="shared" si="2"/>
        <v>-</v>
      </c>
      <c r="I59" s="81"/>
      <c r="J59" s="82"/>
    </row>
    <row r="60" spans="2:10" ht="34">
      <c r="B60" s="345" t="s">
        <v>404</v>
      </c>
      <c r="C60" s="346"/>
      <c r="D60" s="29"/>
      <c r="E60" s="28" t="s">
        <v>425</v>
      </c>
      <c r="F60" s="28" t="s">
        <v>426</v>
      </c>
      <c r="G60" s="28"/>
      <c r="H60" s="320" t="str">
        <f t="shared" si="2"/>
        <v>-</v>
      </c>
      <c r="I60" s="81"/>
      <c r="J60" s="82"/>
    </row>
    <row r="61" spans="2:10" ht="51">
      <c r="B61" s="345" t="s">
        <v>407</v>
      </c>
      <c r="C61" s="346"/>
      <c r="D61" s="78"/>
      <c r="E61" s="28" t="s">
        <v>428</v>
      </c>
      <c r="F61" s="28" t="s">
        <v>1548</v>
      </c>
      <c r="G61" s="28"/>
      <c r="H61" s="320" t="str">
        <f t="shared" si="2"/>
        <v>-</v>
      </c>
      <c r="I61" s="81"/>
      <c r="J61" s="82"/>
    </row>
    <row r="62" spans="2:10" ht="68">
      <c r="B62" s="345" t="s">
        <v>408</v>
      </c>
      <c r="C62" s="346"/>
      <c r="D62" s="29"/>
      <c r="E62" s="28" t="s">
        <v>430</v>
      </c>
      <c r="F62" s="28" t="s">
        <v>431</v>
      </c>
      <c r="G62" s="28"/>
      <c r="H62" s="320" t="str">
        <f t="shared" si="2"/>
        <v>-</v>
      </c>
      <c r="I62" s="81"/>
      <c r="J62" s="82"/>
    </row>
    <row r="63" spans="2:10" ht="153">
      <c r="B63" s="345" t="s">
        <v>410</v>
      </c>
      <c r="C63" s="346"/>
      <c r="D63" s="30"/>
      <c r="E63" s="28" t="s">
        <v>433</v>
      </c>
      <c r="F63" s="28" t="s">
        <v>434</v>
      </c>
      <c r="G63" s="28" t="s">
        <v>435</v>
      </c>
      <c r="H63" s="320" t="str">
        <f t="shared" si="2"/>
        <v>-</v>
      </c>
      <c r="I63" s="81"/>
      <c r="J63" s="82"/>
    </row>
    <row r="64" spans="2:10" ht="51">
      <c r="B64" s="345" t="s">
        <v>412</v>
      </c>
      <c r="C64" s="346"/>
      <c r="D64" s="79" t="s">
        <v>437</v>
      </c>
      <c r="E64" s="28" t="s">
        <v>438</v>
      </c>
      <c r="F64" s="28" t="s">
        <v>439</v>
      </c>
      <c r="G64" s="28"/>
      <c r="H64" s="320" t="s">
        <v>309</v>
      </c>
      <c r="I64" s="81" t="s">
        <v>1601</v>
      </c>
      <c r="J64" s="82"/>
    </row>
    <row r="65" spans="2:10" ht="34">
      <c r="B65" s="345" t="s">
        <v>415</v>
      </c>
      <c r="C65" s="346"/>
      <c r="D65" s="29"/>
      <c r="E65" s="28" t="s">
        <v>441</v>
      </c>
      <c r="F65" s="28" t="s">
        <v>442</v>
      </c>
      <c r="G65" s="28"/>
      <c r="H65" s="320" t="s">
        <v>309</v>
      </c>
      <c r="I65" s="81" t="s">
        <v>1601</v>
      </c>
      <c r="J65" s="82"/>
    </row>
    <row r="66" spans="2:10" ht="19">
      <c r="B66" s="345" t="s">
        <v>418</v>
      </c>
      <c r="C66" s="346"/>
      <c r="D66" s="29"/>
      <c r="E66" s="28" t="s">
        <v>322</v>
      </c>
      <c r="F66" s="28" t="s">
        <v>1574</v>
      </c>
      <c r="G66" s="28"/>
      <c r="H66" s="320" t="s">
        <v>309</v>
      </c>
      <c r="I66" s="81" t="s">
        <v>1601</v>
      </c>
      <c r="J66" s="82"/>
    </row>
    <row r="67" spans="2:10" ht="34">
      <c r="B67" s="345" t="s">
        <v>420</v>
      </c>
      <c r="C67" s="346"/>
      <c r="D67" s="110"/>
      <c r="E67" s="28" t="s">
        <v>445</v>
      </c>
      <c r="F67" s="28" t="s">
        <v>446</v>
      </c>
      <c r="G67" s="28"/>
      <c r="H67" s="320" t="s">
        <v>309</v>
      </c>
      <c r="I67" s="81" t="s">
        <v>1601</v>
      </c>
      <c r="J67" s="82"/>
    </row>
    <row r="68" spans="2:10" ht="102">
      <c r="B68" s="345" t="s">
        <v>421</v>
      </c>
      <c r="C68" s="346"/>
      <c r="D68" s="27" t="s">
        <v>448</v>
      </c>
      <c r="E68" s="28" t="s">
        <v>449</v>
      </c>
      <c r="F68" s="28" t="s">
        <v>450</v>
      </c>
      <c r="G68" s="28"/>
      <c r="H68" s="320" t="str">
        <f t="shared" ref="H68:H73" si="3">IF($M$12=TRUE,"〇","-")</f>
        <v>-</v>
      </c>
      <c r="I68" s="81"/>
      <c r="J68" s="82"/>
    </row>
    <row r="69" spans="2:10" ht="51">
      <c r="B69" s="345" t="s">
        <v>424</v>
      </c>
      <c r="C69" s="346"/>
      <c r="D69" s="29"/>
      <c r="E69" s="28" t="s">
        <v>453</v>
      </c>
      <c r="F69" s="28" t="s">
        <v>454</v>
      </c>
      <c r="G69" s="28"/>
      <c r="H69" s="320" t="str">
        <f t="shared" si="3"/>
        <v>-</v>
      </c>
      <c r="I69" s="81"/>
      <c r="J69" s="82"/>
    </row>
    <row r="70" spans="2:10" ht="51">
      <c r="B70" s="345" t="s">
        <v>427</v>
      </c>
      <c r="C70" s="346"/>
      <c r="D70" s="29"/>
      <c r="E70" s="28" t="s">
        <v>456</v>
      </c>
      <c r="F70" s="28" t="s">
        <v>457</v>
      </c>
      <c r="G70" s="28"/>
      <c r="H70" s="320" t="str">
        <f t="shared" si="3"/>
        <v>-</v>
      </c>
      <c r="I70" s="81"/>
      <c r="J70" s="82"/>
    </row>
    <row r="71" spans="2:10" ht="85">
      <c r="B71" s="345" t="s">
        <v>429</v>
      </c>
      <c r="C71" s="346"/>
      <c r="D71" s="29"/>
      <c r="E71" s="28" t="s">
        <v>459</v>
      </c>
      <c r="F71" s="28" t="s">
        <v>460</v>
      </c>
      <c r="G71" s="28" t="s">
        <v>461</v>
      </c>
      <c r="H71" s="320" t="str">
        <f t="shared" si="3"/>
        <v>-</v>
      </c>
      <c r="I71" s="81"/>
      <c r="J71" s="82"/>
    </row>
    <row r="72" spans="2:10" ht="51">
      <c r="B72" s="345" t="s">
        <v>432</v>
      </c>
      <c r="C72" s="346"/>
      <c r="D72" s="29"/>
      <c r="E72" s="28" t="s">
        <v>462</v>
      </c>
      <c r="F72" s="28" t="s">
        <v>463</v>
      </c>
      <c r="G72" s="28" t="s">
        <v>464</v>
      </c>
      <c r="H72" s="320" t="str">
        <f t="shared" si="3"/>
        <v>-</v>
      </c>
      <c r="I72" s="81"/>
      <c r="J72" s="82"/>
    </row>
    <row r="73" spans="2:10" ht="85">
      <c r="B73" s="345" t="s">
        <v>436</v>
      </c>
      <c r="C73" s="346"/>
      <c r="D73" s="30"/>
      <c r="E73" s="28" t="s">
        <v>466</v>
      </c>
      <c r="F73" s="28" t="s">
        <v>467</v>
      </c>
      <c r="G73" s="28" t="s">
        <v>468</v>
      </c>
      <c r="H73" s="320" t="str">
        <f t="shared" si="3"/>
        <v>-</v>
      </c>
      <c r="I73" s="81"/>
      <c r="J73" s="82"/>
    </row>
    <row r="74" spans="2:10" ht="68">
      <c r="B74" s="345" t="s">
        <v>440</v>
      </c>
      <c r="C74" s="346"/>
      <c r="D74" s="347" t="s">
        <v>470</v>
      </c>
      <c r="E74" s="28" t="s">
        <v>470</v>
      </c>
      <c r="F74" s="28" t="s">
        <v>471</v>
      </c>
      <c r="G74" s="28"/>
      <c r="H74" s="320" t="s">
        <v>309</v>
      </c>
      <c r="I74" s="81" t="s">
        <v>1601</v>
      </c>
      <c r="J74" s="343" t="s">
        <v>1605</v>
      </c>
    </row>
    <row r="75" spans="2:10" ht="36" customHeight="1">
      <c r="B75" s="345" t="s">
        <v>443</v>
      </c>
      <c r="C75" s="346"/>
      <c r="D75" s="348"/>
      <c r="E75" s="28" t="s">
        <v>473</v>
      </c>
      <c r="F75" s="28" t="s">
        <v>474</v>
      </c>
      <c r="G75" s="28" t="s">
        <v>475</v>
      </c>
      <c r="H75" s="320" t="s">
        <v>309</v>
      </c>
      <c r="I75" s="81" t="s">
        <v>1601</v>
      </c>
      <c r="J75" s="343" t="s">
        <v>1605</v>
      </c>
    </row>
    <row r="76" spans="2:10" ht="119">
      <c r="B76" s="345" t="s">
        <v>444</v>
      </c>
      <c r="C76" s="346"/>
      <c r="D76" s="78"/>
      <c r="E76" s="28" t="s">
        <v>477</v>
      </c>
      <c r="F76" s="28" t="s">
        <v>1575</v>
      </c>
      <c r="G76" s="28"/>
      <c r="H76" s="320" t="s">
        <v>309</v>
      </c>
      <c r="I76" s="81" t="s">
        <v>1601</v>
      </c>
      <c r="J76" s="343" t="s">
        <v>1605</v>
      </c>
    </row>
    <row r="77" spans="2:10" ht="34">
      <c r="B77" s="345" t="s">
        <v>447</v>
      </c>
      <c r="C77" s="346"/>
      <c r="D77" s="79" t="s">
        <v>479</v>
      </c>
      <c r="E77" s="28" t="s">
        <v>480</v>
      </c>
      <c r="F77" s="28" t="s">
        <v>481</v>
      </c>
      <c r="G77" s="28"/>
      <c r="H77" s="320" t="s">
        <v>309</v>
      </c>
      <c r="I77" s="81" t="s">
        <v>1601</v>
      </c>
      <c r="J77" s="343" t="s">
        <v>1605</v>
      </c>
    </row>
    <row r="78" spans="2:10" ht="34">
      <c r="B78" s="345" t="s">
        <v>452</v>
      </c>
      <c r="C78" s="346"/>
      <c r="D78" s="30"/>
      <c r="E78" s="28" t="s">
        <v>483</v>
      </c>
      <c r="F78" s="28" t="s">
        <v>484</v>
      </c>
      <c r="G78" s="28"/>
      <c r="H78" s="320" t="s">
        <v>309</v>
      </c>
      <c r="I78" s="81" t="s">
        <v>1601</v>
      </c>
      <c r="J78" s="343" t="s">
        <v>1605</v>
      </c>
    </row>
    <row r="79" spans="2:10" ht="102">
      <c r="B79" s="345" t="s">
        <v>455</v>
      </c>
      <c r="C79" s="346"/>
      <c r="D79" s="78" t="s">
        <v>486</v>
      </c>
      <c r="E79" s="28" t="s">
        <v>487</v>
      </c>
      <c r="F79" s="28" t="s">
        <v>488</v>
      </c>
      <c r="G79" s="28" t="s">
        <v>489</v>
      </c>
      <c r="H79" s="320" t="str">
        <f>IF($M$13=TRUE,"〇","-")</f>
        <v>-</v>
      </c>
      <c r="I79" s="81"/>
      <c r="J79" s="82"/>
    </row>
    <row r="80" spans="2:10" ht="85">
      <c r="B80" s="345" t="s">
        <v>458</v>
      </c>
      <c r="C80" s="346"/>
      <c r="D80" s="78"/>
      <c r="E80" s="28" t="s">
        <v>491</v>
      </c>
      <c r="F80" s="28" t="s">
        <v>492</v>
      </c>
      <c r="G80" s="28" t="s">
        <v>493</v>
      </c>
      <c r="H80" s="320" t="str">
        <f>IF($M$13=TRUE,"〇","-")</f>
        <v>-</v>
      </c>
      <c r="I80" s="81"/>
      <c r="J80" s="82"/>
    </row>
    <row r="81" spans="2:10" ht="34">
      <c r="B81" s="345" t="s">
        <v>244</v>
      </c>
      <c r="C81" s="346"/>
      <c r="D81" s="79" t="s">
        <v>495</v>
      </c>
      <c r="E81" s="28" t="s">
        <v>496</v>
      </c>
      <c r="F81" s="28" t="s">
        <v>497</v>
      </c>
      <c r="G81" s="28"/>
      <c r="H81" s="320" t="s">
        <v>309</v>
      </c>
      <c r="I81" s="81" t="s">
        <v>1600</v>
      </c>
      <c r="J81" s="344"/>
    </row>
    <row r="82" spans="2:10" ht="34">
      <c r="B82" s="345" t="s">
        <v>465</v>
      </c>
      <c r="C82" s="346"/>
      <c r="D82" s="29"/>
      <c r="E82" s="28" t="s">
        <v>499</v>
      </c>
      <c r="F82" s="28" t="s">
        <v>500</v>
      </c>
      <c r="G82" s="28"/>
      <c r="H82" s="320" t="s">
        <v>309</v>
      </c>
      <c r="I82" s="81" t="s">
        <v>1601</v>
      </c>
      <c r="J82" s="344" t="s">
        <v>1605</v>
      </c>
    </row>
    <row r="83" spans="2:10" ht="34">
      <c r="B83" s="345" t="s">
        <v>469</v>
      </c>
      <c r="C83" s="346"/>
      <c r="D83" s="29"/>
      <c r="E83" s="28" t="s">
        <v>503</v>
      </c>
      <c r="F83" s="28" t="s">
        <v>504</v>
      </c>
      <c r="G83" s="28"/>
      <c r="H83" s="320" t="s">
        <v>309</v>
      </c>
      <c r="I83" s="81" t="s">
        <v>1601</v>
      </c>
      <c r="J83" s="344" t="s">
        <v>1605</v>
      </c>
    </row>
    <row r="84" spans="2:10" ht="34">
      <c r="B84" s="345" t="s">
        <v>472</v>
      </c>
      <c r="C84" s="346"/>
      <c r="D84" s="29"/>
      <c r="E84" s="28" t="s">
        <v>506</v>
      </c>
      <c r="F84" s="28" t="s">
        <v>507</v>
      </c>
      <c r="G84" s="28" t="s">
        <v>508</v>
      </c>
      <c r="H84" s="320" t="s">
        <v>309</v>
      </c>
      <c r="I84" s="81" t="s">
        <v>1601</v>
      </c>
      <c r="J84" s="344" t="s">
        <v>1605</v>
      </c>
    </row>
    <row r="85" spans="2:10" ht="34">
      <c r="B85" s="345" t="s">
        <v>476</v>
      </c>
      <c r="C85" s="346"/>
      <c r="D85" s="29"/>
      <c r="E85" s="28" t="s">
        <v>510</v>
      </c>
      <c r="F85" s="28" t="s">
        <v>511</v>
      </c>
      <c r="G85" s="28"/>
      <c r="H85" s="320" t="s">
        <v>309</v>
      </c>
      <c r="I85" s="81" t="s">
        <v>1601</v>
      </c>
      <c r="J85" s="344" t="s">
        <v>1605</v>
      </c>
    </row>
    <row r="86" spans="2:10" ht="43.5" customHeight="1">
      <c r="B86" s="345" t="s">
        <v>478</v>
      </c>
      <c r="C86" s="346"/>
      <c r="D86" s="30"/>
      <c r="E86" s="28" t="s">
        <v>513</v>
      </c>
      <c r="F86" s="28" t="s">
        <v>514</v>
      </c>
      <c r="G86" s="28" t="s">
        <v>515</v>
      </c>
      <c r="H86" s="320" t="s">
        <v>309</v>
      </c>
      <c r="I86" s="81" t="s">
        <v>1601</v>
      </c>
      <c r="J86" s="344" t="s">
        <v>1605</v>
      </c>
    </row>
    <row r="87" spans="2:10">
      <c r="B87" s="106">
        <v>3</v>
      </c>
      <c r="C87" s="107" t="s">
        <v>516</v>
      </c>
      <c r="D87" s="108"/>
      <c r="E87" s="109"/>
      <c r="F87" s="109"/>
      <c r="G87" s="109"/>
      <c r="H87" s="108"/>
      <c r="I87" s="108"/>
      <c r="J87" s="109"/>
    </row>
    <row r="88" spans="2:10" ht="19">
      <c r="B88" s="345" t="s">
        <v>517</v>
      </c>
      <c r="C88" s="346"/>
      <c r="D88" s="84"/>
      <c r="E88" s="84" t="s">
        <v>518</v>
      </c>
      <c r="F88" s="84"/>
      <c r="G88" s="84"/>
      <c r="H88" s="319" t="s">
        <v>309</v>
      </c>
      <c r="I88" s="81" t="s">
        <v>1600</v>
      </c>
      <c r="J88" s="82"/>
    </row>
    <row r="89" spans="2:10" ht="34">
      <c r="B89" s="345" t="s">
        <v>519</v>
      </c>
      <c r="C89" s="346"/>
      <c r="D89" s="84"/>
      <c r="E89" s="84" t="s">
        <v>520</v>
      </c>
      <c r="F89" s="84" t="s">
        <v>521</v>
      </c>
      <c r="G89" s="84" t="s">
        <v>522</v>
      </c>
      <c r="H89" s="319" t="s">
        <v>305</v>
      </c>
      <c r="I89" s="81" t="s">
        <v>1600</v>
      </c>
      <c r="J89" s="82"/>
    </row>
  </sheetData>
  <autoFilter ref="B15:K89" xr:uid="{0A4B15E1-7FAE-7F45-836E-B539BA6387DA}">
    <filterColumn colId="0" showButton="0"/>
  </autoFilter>
  <mergeCells count="79">
    <mergeCell ref="B20:C20"/>
    <mergeCell ref="B21:C21"/>
    <mergeCell ref="B22:C22"/>
    <mergeCell ref="B23:C23"/>
    <mergeCell ref="B24:C24"/>
    <mergeCell ref="B25:C25"/>
    <mergeCell ref="C8:D8"/>
    <mergeCell ref="B89:C89"/>
    <mergeCell ref="B2:C2"/>
    <mergeCell ref="B3:C3"/>
    <mergeCell ref="B4:C4"/>
    <mergeCell ref="B5:C5"/>
    <mergeCell ref="B6:C6"/>
    <mergeCell ref="B15:C15"/>
    <mergeCell ref="B17:C17"/>
    <mergeCell ref="B18:C18"/>
    <mergeCell ref="B30:C30"/>
    <mergeCell ref="B26:C26"/>
    <mergeCell ref="B27:C27"/>
    <mergeCell ref="B28:C28"/>
    <mergeCell ref="B29:C29"/>
    <mergeCell ref="B31:C31"/>
    <mergeCell ref="B36:C36"/>
    <mergeCell ref="B37:C37"/>
    <mergeCell ref="B38:C38"/>
    <mergeCell ref="B39:C39"/>
    <mergeCell ref="B40:C40"/>
    <mergeCell ref="B32:C32"/>
    <mergeCell ref="B33:C33"/>
    <mergeCell ref="B34:C34"/>
    <mergeCell ref="B35:C35"/>
    <mergeCell ref="B46:C46"/>
    <mergeCell ref="B47:C47"/>
    <mergeCell ref="B48:C48"/>
    <mergeCell ref="B49:C49"/>
    <mergeCell ref="B50:C50"/>
    <mergeCell ref="B41:C41"/>
    <mergeCell ref="B42:C42"/>
    <mergeCell ref="B43:C43"/>
    <mergeCell ref="B44:C44"/>
    <mergeCell ref="B45:C45"/>
    <mergeCell ref="B56:C56"/>
    <mergeCell ref="B57:C57"/>
    <mergeCell ref="B58:C58"/>
    <mergeCell ref="B59:C59"/>
    <mergeCell ref="B60:C60"/>
    <mergeCell ref="B51:C51"/>
    <mergeCell ref="B52:C52"/>
    <mergeCell ref="B53:C53"/>
    <mergeCell ref="B54:C54"/>
    <mergeCell ref="B55:C55"/>
    <mergeCell ref="B70:C70"/>
    <mergeCell ref="B71:C71"/>
    <mergeCell ref="B72:C72"/>
    <mergeCell ref="B73:C73"/>
    <mergeCell ref="B74:C74"/>
    <mergeCell ref="B61:C61"/>
    <mergeCell ref="B62:C62"/>
    <mergeCell ref="B63:C63"/>
    <mergeCell ref="B64:C64"/>
    <mergeCell ref="B65:C65"/>
    <mergeCell ref="D74:D75"/>
    <mergeCell ref="B75:C75"/>
    <mergeCell ref="B76:C76"/>
    <mergeCell ref="B78:C78"/>
    <mergeCell ref="B79:C79"/>
    <mergeCell ref="B66:C66"/>
    <mergeCell ref="B67:C67"/>
    <mergeCell ref="B77:C77"/>
    <mergeCell ref="B68:C68"/>
    <mergeCell ref="B69:C69"/>
    <mergeCell ref="B80:C80"/>
    <mergeCell ref="B81:C81"/>
    <mergeCell ref="B85:C85"/>
    <mergeCell ref="B88:C88"/>
    <mergeCell ref="B82:C82"/>
    <mergeCell ref="B83:C83"/>
    <mergeCell ref="B84:C84"/>
    <mergeCell ref="B86:C86"/>
  </mergeCells>
  <phoneticPr fontId="61"/>
  <conditionalFormatting sqref="B20:J20 B21:C86 D21:J36">
    <cfRule type="expression" dxfId="13" priority="16">
      <formula>$M$9=FALSE</formula>
    </cfRule>
  </conditionalFormatting>
  <conditionalFormatting sqref="D37:J54">
    <cfRule type="expression" dxfId="12" priority="21">
      <formula>$M$10=FALSE</formula>
    </cfRule>
  </conditionalFormatting>
  <conditionalFormatting sqref="D55:J63">
    <cfRule type="expression" dxfId="11" priority="14">
      <formula>$M$11=FALSE</formula>
    </cfRule>
  </conditionalFormatting>
  <conditionalFormatting sqref="D79:J80">
    <cfRule type="expression" dxfId="10" priority="26">
      <formula>$M$13=FALSE</formula>
    </cfRule>
  </conditionalFormatting>
  <conditionalFormatting sqref="J64:J67 D68:J73">
    <cfRule type="expression" dxfId="9" priority="24">
      <formula>$M$12=FALSE</formula>
    </cfRule>
  </conditionalFormatting>
  <dataValidations count="1">
    <dataValidation type="list" allowBlank="1" showInputMessage="1" showErrorMessage="1" sqref="I17:I18 I88:I89 I20:I86" xr:uid="{DEB62AE6-A59A-1F42-8634-B00AE5D67950}">
      <formula1>$K$17:$K$20</formula1>
    </dataValidation>
  </dataValidations>
  <pageMargins left="0.31496062992125984" right="0.31496062992125984" top="0.55118110236220474" bottom="0.55118110236220474" header="0.31496062992125984" footer="0.31496062992125984"/>
  <pageSetup paperSize="9" scale="34" fitToHeight="0" orientation="portrait"/>
  <headerFooter>
    <oddHeader>&amp;C&amp;A</oddHeader>
    <oddFooter>&amp;C&amp;P/&amp;N</oddFooter>
  </headerFooter>
  <rowBreaks count="1" manualBreakCount="1">
    <brk id="54"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4099" r:id="rId3" name="Check Box 3">
              <controlPr defaultSize="0" autoFill="0" autoLine="0" autoPict="0">
                <anchor moveWithCells="1">
                  <from>
                    <xdr:col>1</xdr:col>
                    <xdr:colOff>203200</xdr:colOff>
                    <xdr:row>11</xdr:row>
                    <xdr:rowOff>0</xdr:rowOff>
                  </from>
                  <to>
                    <xdr:col>3</xdr:col>
                    <xdr:colOff>0</xdr:colOff>
                    <xdr:row>12</xdr:row>
                    <xdr:rowOff>0</xdr:rowOff>
                  </to>
                </anchor>
              </controlPr>
            </control>
          </mc:Choice>
        </mc:AlternateContent>
        <mc:AlternateContent xmlns:mc="http://schemas.openxmlformats.org/markup-compatibility/2006">
          <mc:Choice Requires="x14">
            <control shapeId="4104" r:id="rId4" name="Check Box 8">
              <controlPr defaultSize="0" autoFill="0" autoLine="0" autoPict="0">
                <anchor moveWithCells="1">
                  <from>
                    <xdr:col>1</xdr:col>
                    <xdr:colOff>203200</xdr:colOff>
                    <xdr:row>8</xdr:row>
                    <xdr:rowOff>0</xdr:rowOff>
                  </from>
                  <to>
                    <xdr:col>3</xdr:col>
                    <xdr:colOff>0</xdr:colOff>
                    <xdr:row>9</xdr:row>
                    <xdr:rowOff>0</xdr:rowOff>
                  </to>
                </anchor>
              </controlPr>
            </control>
          </mc:Choice>
        </mc:AlternateContent>
        <mc:AlternateContent xmlns:mc="http://schemas.openxmlformats.org/markup-compatibility/2006">
          <mc:Choice Requires="x14">
            <control shapeId="4105" r:id="rId5" name="Check Box 9">
              <controlPr defaultSize="0" autoFill="0" autoLine="0" autoPict="0">
                <anchor moveWithCells="1">
                  <from>
                    <xdr:col>1</xdr:col>
                    <xdr:colOff>203200</xdr:colOff>
                    <xdr:row>9</xdr:row>
                    <xdr:rowOff>0</xdr:rowOff>
                  </from>
                  <to>
                    <xdr:col>3</xdr:col>
                    <xdr:colOff>0</xdr:colOff>
                    <xdr:row>10</xdr:row>
                    <xdr:rowOff>0</xdr:rowOff>
                  </to>
                </anchor>
              </controlPr>
            </control>
          </mc:Choice>
        </mc:AlternateContent>
        <mc:AlternateContent xmlns:mc="http://schemas.openxmlformats.org/markup-compatibility/2006">
          <mc:Choice Requires="x14">
            <control shapeId="4106" r:id="rId6" name="Check Box 10">
              <controlPr defaultSize="0" autoFill="0" autoLine="0" autoPict="0">
                <anchor moveWithCells="1">
                  <from>
                    <xdr:col>1</xdr:col>
                    <xdr:colOff>203200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4107" r:id="rId7" name="Check Box 11">
              <controlPr defaultSize="0" autoFill="0" autoLine="0" autoPict="0">
                <anchor moveWithCells="1">
                  <from>
                    <xdr:col>1</xdr:col>
                    <xdr:colOff>203200</xdr:colOff>
                    <xdr:row>12</xdr:row>
                    <xdr:rowOff>0</xdr:rowOff>
                  </from>
                  <to>
                    <xdr:col>3</xdr:col>
                    <xdr:colOff>0</xdr:colOff>
                    <xdr:row>13</xdr:row>
                    <xdr:rowOff>0</xdr:rowOff>
                  </to>
                </anchor>
              </controlPr>
            </control>
          </mc:Choice>
        </mc:AlternateContent>
        <mc:AlternateContent xmlns:mc="http://schemas.openxmlformats.org/markup-compatibility/2006">
          <mc:Choice Requires="x14">
            <control shapeId="4108" r:id="rId8" name="Check Box 12">
              <controlPr defaultSize="0" autoFill="0" autoLine="0" autoPict="0">
                <anchor moveWithCells="1">
                  <from>
                    <xdr:col>1</xdr:col>
                    <xdr:colOff>203200</xdr:colOff>
                    <xdr:row>8</xdr:row>
                    <xdr:rowOff>0</xdr:rowOff>
                  </from>
                  <to>
                    <xdr:col>3</xdr:col>
                    <xdr:colOff>0</xdr:colOff>
                    <xdr:row>9</xdr:row>
                    <xdr:rowOff>0</xdr:rowOff>
                  </to>
                </anchor>
              </controlPr>
            </control>
          </mc:Choice>
        </mc:AlternateContent>
        <mc:AlternateContent xmlns:mc="http://schemas.openxmlformats.org/markup-compatibility/2006">
          <mc:Choice Requires="x14">
            <control shapeId="4109" r:id="rId9" name="Check Box 13">
              <controlPr defaultSize="0" autoFill="0" autoLine="0" autoPict="0">
                <anchor moveWithCells="1">
                  <from>
                    <xdr:col>1</xdr:col>
                    <xdr:colOff>203200</xdr:colOff>
                    <xdr:row>9</xdr:row>
                    <xdr:rowOff>0</xdr:rowOff>
                  </from>
                  <to>
                    <xdr:col>3</xdr:col>
                    <xdr:colOff>0</xdr:colOff>
                    <xdr:row>10</xdr:row>
                    <xdr:rowOff>0</xdr:rowOff>
                  </to>
                </anchor>
              </controlPr>
            </control>
          </mc:Choice>
        </mc:AlternateContent>
        <mc:AlternateContent xmlns:mc="http://schemas.openxmlformats.org/markup-compatibility/2006">
          <mc:Choice Requires="x14">
            <control shapeId="4110" r:id="rId10" name="Check Box 14">
              <controlPr defaultSize="0" autoFill="0" autoLine="0" autoPict="0">
                <anchor moveWithCells="1">
                  <from>
                    <xdr:col>1</xdr:col>
                    <xdr:colOff>203200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4111" r:id="rId11" name="Check Box 15">
              <controlPr defaultSize="0" autoFill="0" autoLine="0" autoPict="0">
                <anchor moveWithCells="1">
                  <from>
                    <xdr:col>1</xdr:col>
                    <xdr:colOff>203200</xdr:colOff>
                    <xdr:row>12</xdr:row>
                    <xdr:rowOff>0</xdr:rowOff>
                  </from>
                  <to>
                    <xdr:col>3</xdr:col>
                    <xdr:colOff>0</xdr:colOff>
                    <xdr:row>13</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DA06-19F5-9A48-B4F1-CED365064852}">
  <sheetPr>
    <pageSetUpPr fitToPage="1"/>
  </sheetPr>
  <dimension ref="B1:M74"/>
  <sheetViews>
    <sheetView showGridLines="0" view="pageBreakPreview" zoomScale="70" zoomScaleNormal="70" zoomScaleSheetLayoutView="70" workbookViewId="0">
      <pane xSplit="1" ySplit="14" topLeftCell="B69" activePane="bottomRight" state="frozen"/>
      <selection pane="topRight" activeCell="F19" sqref="F19"/>
      <selection pane="bottomLeft" activeCell="F19" sqref="F19"/>
      <selection pane="bottomRight" activeCell="G75" sqref="G75"/>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9.1640625" style="88" bestFit="1" customWidth="1"/>
    <col min="9" max="9" width="5.6640625" style="88" customWidth="1"/>
    <col min="10" max="10" width="50.6640625" style="87" customWidth="1"/>
    <col min="11" max="12" width="3.6640625" style="87"/>
    <col min="13" max="13" width="7.5" style="87" bestFit="1" customWidth="1"/>
    <col min="14" max="16384" width="3.6640625" style="87"/>
  </cols>
  <sheetData>
    <row r="1" spans="2:13" ht="4.5" customHeight="1"/>
    <row r="2" spans="2:13" ht="15" customHeight="1">
      <c r="B2" s="350"/>
      <c r="C2" s="351"/>
      <c r="D2" s="89"/>
      <c r="E2" s="89" t="s">
        <v>523</v>
      </c>
      <c r="F2" s="89" t="s">
        <v>524</v>
      </c>
      <c r="G2" s="90" t="s">
        <v>525</v>
      </c>
      <c r="H2" s="91"/>
      <c r="I2" s="91"/>
      <c r="J2" s="92"/>
    </row>
    <row r="3" spans="2:13" ht="25" customHeight="1">
      <c r="B3" s="352" t="s">
        <v>526</v>
      </c>
      <c r="C3" s="353"/>
      <c r="D3" s="93" t="s">
        <v>527</v>
      </c>
      <c r="E3" s="94"/>
      <c r="F3" s="94"/>
      <c r="G3" s="95"/>
      <c r="H3" s="314"/>
      <c r="I3" s="91"/>
      <c r="J3" s="92"/>
    </row>
    <row r="4" spans="2:13" ht="25" customHeight="1">
      <c r="B4" s="354"/>
      <c r="C4" s="355"/>
      <c r="D4" s="94" t="s">
        <v>528</v>
      </c>
      <c r="E4" s="94"/>
      <c r="F4" s="94"/>
      <c r="G4" s="95"/>
      <c r="H4" s="314"/>
      <c r="I4" s="91"/>
      <c r="J4" s="92"/>
    </row>
    <row r="5" spans="2:13" ht="25" customHeight="1">
      <c r="B5" s="352" t="s">
        <v>529</v>
      </c>
      <c r="C5" s="353"/>
      <c r="D5" s="94" t="s">
        <v>530</v>
      </c>
      <c r="E5" s="94"/>
      <c r="F5" s="95"/>
      <c r="G5" s="96"/>
      <c r="H5" s="318"/>
      <c r="I5" s="91"/>
      <c r="J5" s="92"/>
    </row>
    <row r="6" spans="2:13" ht="25" customHeight="1">
      <c r="B6" s="354"/>
      <c r="C6" s="355"/>
      <c r="D6" s="94" t="s">
        <v>531</v>
      </c>
      <c r="E6" s="94"/>
      <c r="F6" s="95"/>
      <c r="G6" s="96"/>
      <c r="H6" s="318"/>
      <c r="I6" s="91"/>
      <c r="J6" s="92"/>
    </row>
    <row r="7" spans="2:13" ht="16.5" customHeight="1"/>
    <row r="8" spans="2:13" ht="20.25" customHeight="1">
      <c r="B8" s="316"/>
      <c r="C8" s="349" t="s">
        <v>287</v>
      </c>
      <c r="D8" s="349"/>
      <c r="E8" s="314"/>
      <c r="F8" s="314"/>
      <c r="G8" s="96"/>
      <c r="H8" s="318"/>
      <c r="I8" s="91"/>
      <c r="J8" s="92"/>
    </row>
    <row r="9" spans="2:13" ht="20.25" customHeight="1">
      <c r="B9" s="316"/>
      <c r="C9" s="317"/>
      <c r="D9" s="95" t="s">
        <v>288</v>
      </c>
      <c r="E9" s="314"/>
      <c r="F9" s="314"/>
      <c r="G9" s="96"/>
      <c r="H9" s="318"/>
      <c r="I9" s="91"/>
      <c r="J9" s="92"/>
      <c r="M9" s="87" t="b">
        <v>1</v>
      </c>
    </row>
    <row r="10" spans="2:13" ht="20.25" customHeight="1">
      <c r="B10" s="316"/>
      <c r="C10" s="317"/>
      <c r="D10" s="95" t="s">
        <v>289</v>
      </c>
      <c r="E10" s="314"/>
      <c r="F10" s="314"/>
      <c r="G10" s="96"/>
      <c r="H10" s="318"/>
      <c r="I10" s="91"/>
      <c r="J10" s="92"/>
      <c r="M10" s="87" t="b">
        <v>1</v>
      </c>
    </row>
    <row r="11" spans="2:13" ht="20.25" customHeight="1">
      <c r="B11" s="316"/>
      <c r="C11" s="317"/>
      <c r="D11" s="95" t="s">
        <v>290</v>
      </c>
      <c r="E11" s="314"/>
      <c r="F11" s="314"/>
      <c r="G11" s="96"/>
      <c r="H11" s="318"/>
      <c r="I11" s="91"/>
      <c r="J11" s="92"/>
      <c r="M11" s="87" t="b">
        <v>1</v>
      </c>
    </row>
    <row r="12" spans="2:13" ht="20.25" customHeight="1">
      <c r="B12" s="316"/>
      <c r="C12" s="317"/>
      <c r="D12" s="95" t="s">
        <v>291</v>
      </c>
      <c r="E12" s="314"/>
      <c r="F12" s="314"/>
      <c r="G12" s="96"/>
      <c r="H12" s="318"/>
      <c r="I12" s="91"/>
      <c r="J12" s="92"/>
      <c r="M12" s="87" t="b">
        <v>1</v>
      </c>
    </row>
    <row r="13" spans="2:13" ht="16.5" customHeight="1"/>
    <row r="14" spans="2:13" ht="36" customHeight="1" thickBot="1">
      <c r="B14" s="356" t="s">
        <v>293</v>
      </c>
      <c r="C14" s="357"/>
      <c r="D14" s="332" t="s">
        <v>294</v>
      </c>
      <c r="E14" s="332" t="s">
        <v>295</v>
      </c>
      <c r="F14" s="332" t="s">
        <v>296</v>
      </c>
      <c r="G14" s="332" t="s">
        <v>297</v>
      </c>
      <c r="H14" s="321" t="s">
        <v>298</v>
      </c>
      <c r="I14" s="97" t="s">
        <v>299</v>
      </c>
      <c r="J14" s="98" t="s">
        <v>300</v>
      </c>
    </row>
    <row r="15" spans="2:13" ht="20.25" customHeight="1" thickTop="1" thickBot="1">
      <c r="B15" s="332" t="s">
        <v>293</v>
      </c>
      <c r="C15" s="100" t="s">
        <v>532</v>
      </c>
      <c r="D15" s="101"/>
      <c r="E15" s="102"/>
      <c r="F15" s="102"/>
      <c r="G15" s="102"/>
      <c r="H15" s="103"/>
      <c r="I15" s="103"/>
      <c r="J15" s="104"/>
    </row>
    <row r="16" spans="2:13" ht="35" thickTop="1">
      <c r="B16" s="345" t="s">
        <v>533</v>
      </c>
      <c r="C16" s="346"/>
      <c r="D16" s="105"/>
      <c r="E16" s="27" t="s">
        <v>534</v>
      </c>
      <c r="F16" s="28" t="s">
        <v>535</v>
      </c>
      <c r="G16" s="84" t="s">
        <v>536</v>
      </c>
      <c r="H16" s="319" t="s">
        <v>537</v>
      </c>
      <c r="I16" s="81"/>
      <c r="J16" s="82"/>
    </row>
    <row r="17" spans="2:13" ht="34">
      <c r="B17" s="345" t="s">
        <v>1566</v>
      </c>
      <c r="C17" s="346"/>
      <c r="D17" s="105"/>
      <c r="E17" s="27" t="s">
        <v>534</v>
      </c>
      <c r="F17" s="28" t="s">
        <v>1567</v>
      </c>
      <c r="G17" s="84"/>
      <c r="H17" s="319" t="s">
        <v>537</v>
      </c>
      <c r="I17" s="81"/>
      <c r="J17" s="82"/>
    </row>
    <row r="18" spans="2:13" ht="20.25" customHeight="1">
      <c r="B18" s="106">
        <v>2</v>
      </c>
      <c r="C18" s="107" t="s">
        <v>538</v>
      </c>
      <c r="D18" s="108"/>
      <c r="E18" s="109"/>
      <c r="F18" s="109"/>
      <c r="G18" s="109"/>
      <c r="H18" s="108"/>
      <c r="I18" s="108"/>
      <c r="J18" s="109"/>
      <c r="K18" s="87" t="s">
        <v>539</v>
      </c>
    </row>
    <row r="19" spans="2:13" ht="68">
      <c r="B19" s="358" t="s">
        <v>540</v>
      </c>
      <c r="C19" s="358"/>
      <c r="D19" s="28"/>
      <c r="E19" s="28" t="s">
        <v>541</v>
      </c>
      <c r="F19" s="28" t="s">
        <v>542</v>
      </c>
      <c r="G19" s="28"/>
      <c r="H19" s="320" t="s">
        <v>537</v>
      </c>
      <c r="I19" s="81"/>
      <c r="J19" s="82"/>
      <c r="K19" s="87" t="s">
        <v>543</v>
      </c>
      <c r="M19" s="87" t="e">
        <f>COUNTIF(#REF!, "加藤")</f>
        <v>#REF!</v>
      </c>
    </row>
    <row r="20" spans="2:13" ht="34">
      <c r="B20" s="358" t="s">
        <v>317</v>
      </c>
      <c r="C20" s="358"/>
      <c r="D20" s="28"/>
      <c r="E20" s="28" t="s">
        <v>544</v>
      </c>
      <c r="F20" s="28" t="s">
        <v>1550</v>
      </c>
      <c r="G20" s="28"/>
      <c r="H20" s="320" t="s">
        <v>537</v>
      </c>
      <c r="I20" s="81"/>
      <c r="J20" s="82"/>
      <c r="K20" s="87" t="s">
        <v>545</v>
      </c>
    </row>
    <row r="21" spans="2:13" ht="51">
      <c r="B21" s="358" t="s">
        <v>318</v>
      </c>
      <c r="C21" s="358"/>
      <c r="D21" s="28"/>
      <c r="E21" s="28" t="s">
        <v>546</v>
      </c>
      <c r="F21" s="28" t="s">
        <v>547</v>
      </c>
      <c r="G21" s="28"/>
      <c r="H21" s="320" t="s">
        <v>537</v>
      </c>
      <c r="I21" s="81"/>
      <c r="J21" s="82"/>
    </row>
    <row r="22" spans="2:13" ht="34">
      <c r="B22" s="358" t="s">
        <v>321</v>
      </c>
      <c r="C22" s="358"/>
      <c r="D22" s="28"/>
      <c r="E22" s="28" t="s">
        <v>546</v>
      </c>
      <c r="F22" s="28" t="s">
        <v>548</v>
      </c>
      <c r="G22" s="28"/>
      <c r="H22" s="320" t="s">
        <v>537</v>
      </c>
      <c r="I22" s="81"/>
      <c r="J22" s="82"/>
    </row>
    <row r="23" spans="2:13" ht="51">
      <c r="B23" s="358" t="s">
        <v>324</v>
      </c>
      <c r="C23" s="358"/>
      <c r="D23" s="28"/>
      <c r="E23" s="28" t="s">
        <v>546</v>
      </c>
      <c r="F23" s="28" t="s">
        <v>549</v>
      </c>
      <c r="G23" s="28"/>
      <c r="H23" s="320" t="s">
        <v>537</v>
      </c>
      <c r="I23" s="81"/>
      <c r="J23" s="82"/>
    </row>
    <row r="24" spans="2:13" ht="34">
      <c r="B24" s="358" t="s">
        <v>326</v>
      </c>
      <c r="C24" s="358"/>
      <c r="D24" s="28"/>
      <c r="E24" s="28" t="s">
        <v>550</v>
      </c>
      <c r="F24" s="28" t="s">
        <v>551</v>
      </c>
      <c r="G24" s="28"/>
      <c r="H24" s="320" t="s">
        <v>537</v>
      </c>
      <c r="I24" s="81"/>
      <c r="J24" s="82"/>
    </row>
    <row r="25" spans="2:13" ht="51">
      <c r="B25" s="358" t="s">
        <v>327</v>
      </c>
      <c r="C25" s="358"/>
      <c r="D25" s="28"/>
      <c r="E25" s="28" t="s">
        <v>552</v>
      </c>
      <c r="F25" s="28" t="s">
        <v>553</v>
      </c>
      <c r="G25" s="28"/>
      <c r="H25" s="320" t="s">
        <v>537</v>
      </c>
      <c r="I25" s="81"/>
      <c r="J25" s="82"/>
    </row>
    <row r="26" spans="2:13" ht="34">
      <c r="B26" s="358" t="s">
        <v>330</v>
      </c>
      <c r="C26" s="358"/>
      <c r="D26" s="28"/>
      <c r="E26" s="27" t="s">
        <v>554</v>
      </c>
      <c r="F26" s="28" t="s">
        <v>555</v>
      </c>
      <c r="G26" s="28"/>
      <c r="H26" s="320" t="s">
        <v>537</v>
      </c>
      <c r="I26" s="81"/>
      <c r="J26" s="82"/>
    </row>
    <row r="27" spans="2:13" ht="34">
      <c r="B27" s="358" t="s">
        <v>334</v>
      </c>
      <c r="C27" s="358"/>
      <c r="D27" s="28"/>
      <c r="E27" s="29"/>
      <c r="F27" s="28" t="s">
        <v>1549</v>
      </c>
      <c r="G27" s="28"/>
      <c r="H27" s="320" t="s">
        <v>537</v>
      </c>
      <c r="I27" s="81"/>
      <c r="J27" s="82"/>
    </row>
    <row r="28" spans="2:13" ht="90" customHeight="1">
      <c r="B28" s="358" t="s">
        <v>335</v>
      </c>
      <c r="C28" s="358"/>
      <c r="D28" s="28"/>
      <c r="E28" s="30"/>
      <c r="F28" s="28" t="s">
        <v>556</v>
      </c>
      <c r="G28" s="28"/>
      <c r="H28" s="320" t="s">
        <v>537</v>
      </c>
      <c r="I28" s="81"/>
      <c r="J28" s="82"/>
    </row>
    <row r="29" spans="2:13" ht="20.25" customHeight="1">
      <c r="B29" s="106">
        <v>3</v>
      </c>
      <c r="C29" s="107" t="s">
        <v>557</v>
      </c>
      <c r="D29" s="108"/>
      <c r="E29" s="109"/>
      <c r="F29" s="109"/>
      <c r="G29" s="109"/>
      <c r="H29" s="108"/>
      <c r="I29" s="108"/>
      <c r="J29" s="302"/>
    </row>
    <row r="30" spans="2:13" ht="68">
      <c r="B30" s="345" t="s">
        <v>558</v>
      </c>
      <c r="C30" s="346"/>
      <c r="D30" s="79" t="s">
        <v>559</v>
      </c>
      <c r="E30" s="28" t="s">
        <v>560</v>
      </c>
      <c r="F30" s="28" t="s">
        <v>561</v>
      </c>
      <c r="G30" s="28"/>
      <c r="H30" s="320" t="str">
        <f t="shared" ref="H30:H55" si="0">IF($M$12=FALSE,"-", "〇")</f>
        <v>〇</v>
      </c>
      <c r="I30" s="81"/>
      <c r="J30" s="82"/>
    </row>
    <row r="31" spans="2:13" ht="51">
      <c r="B31" s="345" t="s">
        <v>562</v>
      </c>
      <c r="C31" s="346"/>
      <c r="D31" s="29"/>
      <c r="E31" s="28" t="s">
        <v>563</v>
      </c>
      <c r="F31" s="28" t="s">
        <v>564</v>
      </c>
      <c r="G31" s="28"/>
      <c r="H31" s="320" t="str">
        <f t="shared" si="0"/>
        <v>〇</v>
      </c>
      <c r="I31" s="81"/>
      <c r="J31" s="82"/>
    </row>
    <row r="32" spans="2:13" ht="51">
      <c r="B32" s="345" t="s">
        <v>565</v>
      </c>
      <c r="C32" s="346"/>
      <c r="D32" s="29"/>
      <c r="E32" s="28" t="s">
        <v>566</v>
      </c>
      <c r="F32" s="28" t="s">
        <v>567</v>
      </c>
      <c r="G32" s="28"/>
      <c r="H32" s="320" t="str">
        <f t="shared" si="0"/>
        <v>〇</v>
      </c>
      <c r="I32" s="81"/>
      <c r="J32" s="82"/>
    </row>
    <row r="33" spans="2:10" ht="68">
      <c r="B33" s="345" t="s">
        <v>568</v>
      </c>
      <c r="C33" s="346"/>
      <c r="D33" s="29"/>
      <c r="E33" s="28" t="s">
        <v>569</v>
      </c>
      <c r="F33" s="28" t="s">
        <v>570</v>
      </c>
      <c r="G33" s="28"/>
      <c r="H33" s="320" t="str">
        <f t="shared" si="0"/>
        <v>〇</v>
      </c>
      <c r="I33" s="81"/>
      <c r="J33" s="82"/>
    </row>
    <row r="34" spans="2:10" ht="34">
      <c r="B34" s="345" t="s">
        <v>571</v>
      </c>
      <c r="C34" s="346"/>
      <c r="D34" s="29"/>
      <c r="E34" s="28" t="s">
        <v>572</v>
      </c>
      <c r="F34" s="28" t="s">
        <v>1576</v>
      </c>
      <c r="G34" s="28"/>
      <c r="H34" s="320" t="str">
        <f t="shared" si="0"/>
        <v>〇</v>
      </c>
      <c r="I34" s="81"/>
      <c r="J34" s="82"/>
    </row>
    <row r="35" spans="2:10" ht="34">
      <c r="B35" s="345" t="s">
        <v>573</v>
      </c>
      <c r="C35" s="346"/>
      <c r="D35" s="29"/>
      <c r="E35" s="27" t="s">
        <v>574</v>
      </c>
      <c r="F35" s="28" t="s">
        <v>575</v>
      </c>
      <c r="G35" s="28"/>
      <c r="H35" s="320" t="str">
        <f t="shared" si="0"/>
        <v>〇</v>
      </c>
      <c r="I35" s="81"/>
      <c r="J35" s="82"/>
    </row>
    <row r="36" spans="2:10" ht="51">
      <c r="B36" s="345" t="s">
        <v>576</v>
      </c>
      <c r="C36" s="346"/>
      <c r="D36" s="29"/>
      <c r="E36" s="30"/>
      <c r="F36" s="28" t="s">
        <v>577</v>
      </c>
      <c r="G36" s="28" t="s">
        <v>578</v>
      </c>
      <c r="H36" s="320" t="str">
        <f t="shared" si="0"/>
        <v>〇</v>
      </c>
      <c r="I36" s="81"/>
      <c r="J36" s="82"/>
    </row>
    <row r="37" spans="2:10" ht="51">
      <c r="B37" s="345" t="s">
        <v>579</v>
      </c>
      <c r="C37" s="346"/>
      <c r="D37" s="29"/>
      <c r="E37" s="28" t="s">
        <v>580</v>
      </c>
      <c r="F37" s="28" t="s">
        <v>581</v>
      </c>
      <c r="G37" s="28"/>
      <c r="H37" s="320" t="str">
        <f t="shared" si="0"/>
        <v>〇</v>
      </c>
      <c r="I37" s="81"/>
      <c r="J37" s="82"/>
    </row>
    <row r="38" spans="2:10" ht="51">
      <c r="B38" s="345" t="s">
        <v>582</v>
      </c>
      <c r="C38" s="346"/>
      <c r="D38" s="29"/>
      <c r="E38" s="29" t="s">
        <v>583</v>
      </c>
      <c r="F38" s="28" t="s">
        <v>584</v>
      </c>
      <c r="G38" s="28" t="s">
        <v>585</v>
      </c>
      <c r="H38" s="320" t="str">
        <f t="shared" si="0"/>
        <v>〇</v>
      </c>
      <c r="I38" s="81"/>
      <c r="J38" s="82"/>
    </row>
    <row r="39" spans="2:10" ht="51">
      <c r="B39" s="345" t="s">
        <v>586</v>
      </c>
      <c r="C39" s="346"/>
      <c r="D39" s="29"/>
      <c r="E39" s="29"/>
      <c r="F39" s="28" t="s">
        <v>587</v>
      </c>
      <c r="G39" s="28" t="s">
        <v>588</v>
      </c>
      <c r="H39" s="320" t="str">
        <f t="shared" si="0"/>
        <v>〇</v>
      </c>
      <c r="I39" s="81"/>
      <c r="J39" s="82"/>
    </row>
    <row r="40" spans="2:10" ht="51">
      <c r="B40" s="345" t="s">
        <v>589</v>
      </c>
      <c r="C40" s="346"/>
      <c r="D40" s="29"/>
      <c r="E40" s="29"/>
      <c r="F40" s="28" t="s">
        <v>590</v>
      </c>
      <c r="G40" s="28"/>
      <c r="H40" s="320" t="str">
        <f t="shared" si="0"/>
        <v>〇</v>
      </c>
      <c r="I40" s="81"/>
      <c r="J40" s="82"/>
    </row>
    <row r="41" spans="2:10" ht="34">
      <c r="B41" s="345" t="s">
        <v>591</v>
      </c>
      <c r="C41" s="346"/>
      <c r="D41" s="29"/>
      <c r="E41" s="29"/>
      <c r="F41" s="28" t="s">
        <v>592</v>
      </c>
      <c r="G41" s="28"/>
      <c r="H41" s="320" t="str">
        <f t="shared" si="0"/>
        <v>〇</v>
      </c>
      <c r="I41" s="81"/>
      <c r="J41" s="82"/>
    </row>
    <row r="42" spans="2:10" ht="51">
      <c r="B42" s="345" t="s">
        <v>1523</v>
      </c>
      <c r="C42" s="346"/>
      <c r="D42" s="29"/>
      <c r="E42" s="29"/>
      <c r="F42" s="28" t="s">
        <v>593</v>
      </c>
      <c r="G42" s="28" t="s">
        <v>594</v>
      </c>
      <c r="H42" s="320" t="str">
        <f t="shared" si="0"/>
        <v>〇</v>
      </c>
      <c r="I42" s="81"/>
      <c r="J42" s="82"/>
    </row>
    <row r="43" spans="2:10" ht="82.5" customHeight="1">
      <c r="B43" s="345" t="s">
        <v>1524</v>
      </c>
      <c r="C43" s="346"/>
      <c r="D43" s="30"/>
      <c r="E43" s="30"/>
      <c r="F43" s="28" t="s">
        <v>595</v>
      </c>
      <c r="G43" s="28" t="s">
        <v>596</v>
      </c>
      <c r="H43" s="320" t="str">
        <f t="shared" si="0"/>
        <v>〇</v>
      </c>
      <c r="I43" s="81"/>
      <c r="J43" s="82"/>
    </row>
    <row r="44" spans="2:10" ht="51">
      <c r="B44" s="345" t="s">
        <v>1526</v>
      </c>
      <c r="C44" s="346"/>
      <c r="D44" s="27" t="s">
        <v>597</v>
      </c>
      <c r="E44" s="28" t="s">
        <v>598</v>
      </c>
      <c r="F44" s="28" t="s">
        <v>599</v>
      </c>
      <c r="G44" s="28" t="s">
        <v>600</v>
      </c>
      <c r="H44" s="320" t="str">
        <f t="shared" si="0"/>
        <v>〇</v>
      </c>
      <c r="I44" s="81"/>
      <c r="J44" s="82"/>
    </row>
    <row r="45" spans="2:10" ht="51">
      <c r="B45" s="345" t="s">
        <v>601</v>
      </c>
      <c r="C45" s="346"/>
      <c r="D45" s="29"/>
      <c r="E45" s="28" t="s">
        <v>598</v>
      </c>
      <c r="F45" s="28" t="s">
        <v>602</v>
      </c>
      <c r="G45" s="28" t="s">
        <v>603</v>
      </c>
      <c r="H45" s="320" t="str">
        <f t="shared" si="0"/>
        <v>〇</v>
      </c>
      <c r="I45" s="81"/>
      <c r="J45" s="82"/>
    </row>
    <row r="46" spans="2:10" ht="51">
      <c r="B46" s="345" t="s">
        <v>604</v>
      </c>
      <c r="C46" s="346"/>
      <c r="D46" s="29"/>
      <c r="E46" s="28" t="s">
        <v>605</v>
      </c>
      <c r="F46" s="28" t="s">
        <v>606</v>
      </c>
      <c r="G46" s="28" t="s">
        <v>607</v>
      </c>
      <c r="H46" s="320" t="str">
        <f t="shared" si="0"/>
        <v>〇</v>
      </c>
      <c r="I46" s="81"/>
      <c r="J46" s="82"/>
    </row>
    <row r="47" spans="2:10" ht="102">
      <c r="B47" s="345" t="s">
        <v>608</v>
      </c>
      <c r="C47" s="346"/>
      <c r="D47" s="29"/>
      <c r="E47" s="29" t="s">
        <v>1556</v>
      </c>
      <c r="F47" s="28" t="s">
        <v>611</v>
      </c>
      <c r="G47" s="28"/>
      <c r="H47" s="320" t="str">
        <f t="shared" si="0"/>
        <v>〇</v>
      </c>
      <c r="I47" s="81"/>
      <c r="J47" s="82"/>
    </row>
    <row r="48" spans="2:10" ht="102">
      <c r="B48" s="345" t="s">
        <v>610</v>
      </c>
      <c r="C48" s="346"/>
      <c r="D48" s="29"/>
      <c r="E48" s="30"/>
      <c r="F48" s="28" t="s">
        <v>613</v>
      </c>
      <c r="G48" s="28"/>
      <c r="H48" s="320" t="str">
        <f t="shared" si="0"/>
        <v>〇</v>
      </c>
      <c r="I48" s="81"/>
      <c r="J48" s="82"/>
    </row>
    <row r="49" spans="2:10" ht="51">
      <c r="B49" s="345" t="s">
        <v>612</v>
      </c>
      <c r="C49" s="346"/>
      <c r="D49" s="29"/>
      <c r="E49" s="30" t="s">
        <v>615</v>
      </c>
      <c r="F49" s="28" t="s">
        <v>616</v>
      </c>
      <c r="G49" s="28" t="s">
        <v>617</v>
      </c>
      <c r="H49" s="320" t="str">
        <f t="shared" si="0"/>
        <v>〇</v>
      </c>
      <c r="I49" s="81"/>
      <c r="J49" s="82"/>
    </row>
    <row r="50" spans="2:10" ht="34">
      <c r="B50" s="345" t="s">
        <v>614</v>
      </c>
      <c r="C50" s="346"/>
      <c r="D50" s="30"/>
      <c r="E50" s="29" t="s">
        <v>619</v>
      </c>
      <c r="F50" s="28" t="s">
        <v>620</v>
      </c>
      <c r="G50" s="28"/>
      <c r="H50" s="320" t="str">
        <f t="shared" si="0"/>
        <v>〇</v>
      </c>
      <c r="I50" s="81"/>
      <c r="J50" s="82"/>
    </row>
    <row r="51" spans="2:10" ht="34">
      <c r="B51" s="345" t="s">
        <v>618</v>
      </c>
      <c r="C51" s="346"/>
      <c r="D51" s="29" t="s">
        <v>622</v>
      </c>
      <c r="E51" s="28" t="s">
        <v>623</v>
      </c>
      <c r="F51" s="28" t="s">
        <v>624</v>
      </c>
      <c r="G51" s="28"/>
      <c r="H51" s="320" t="str">
        <f t="shared" si="0"/>
        <v>〇</v>
      </c>
      <c r="I51" s="81"/>
      <c r="J51" s="82"/>
    </row>
    <row r="52" spans="2:10" ht="170">
      <c r="B52" s="345" t="s">
        <v>621</v>
      </c>
      <c r="C52" s="346"/>
      <c r="D52" s="29"/>
      <c r="E52" s="28" t="s">
        <v>626</v>
      </c>
      <c r="F52" s="28" t="s">
        <v>627</v>
      </c>
      <c r="G52" s="28" t="s">
        <v>628</v>
      </c>
      <c r="H52" s="320" t="str">
        <f t="shared" si="0"/>
        <v>〇</v>
      </c>
      <c r="I52" s="81"/>
      <c r="J52" s="82"/>
    </row>
    <row r="53" spans="2:10" ht="34">
      <c r="B53" s="345" t="s">
        <v>625</v>
      </c>
      <c r="C53" s="346"/>
      <c r="D53" s="29"/>
      <c r="E53" s="27" t="s">
        <v>630</v>
      </c>
      <c r="F53" s="28" t="s">
        <v>631</v>
      </c>
      <c r="G53" s="28"/>
      <c r="H53" s="320" t="str">
        <f t="shared" si="0"/>
        <v>〇</v>
      </c>
      <c r="I53" s="81"/>
      <c r="J53" s="82"/>
    </row>
    <row r="54" spans="2:10" ht="34">
      <c r="B54" s="345" t="s">
        <v>629</v>
      </c>
      <c r="C54" s="346"/>
      <c r="D54" s="29"/>
      <c r="E54" s="29"/>
      <c r="F54" s="28" t="s">
        <v>633</v>
      </c>
      <c r="G54" s="28"/>
      <c r="H54" s="320" t="str">
        <f t="shared" si="0"/>
        <v>〇</v>
      </c>
      <c r="I54" s="81"/>
      <c r="J54" s="82"/>
    </row>
    <row r="55" spans="2:10" ht="51">
      <c r="B55" s="345" t="s">
        <v>632</v>
      </c>
      <c r="C55" s="346"/>
      <c r="D55" s="30"/>
      <c r="E55" s="29"/>
      <c r="F55" s="28" t="s">
        <v>634</v>
      </c>
      <c r="G55" s="28"/>
      <c r="H55" s="320" t="str">
        <f t="shared" si="0"/>
        <v>〇</v>
      </c>
      <c r="I55" s="81"/>
      <c r="J55" s="82"/>
    </row>
    <row r="56" spans="2:10" ht="20.25" customHeight="1">
      <c r="B56" s="106">
        <v>4</v>
      </c>
      <c r="C56" s="107" t="s">
        <v>635</v>
      </c>
      <c r="D56" s="108"/>
      <c r="E56" s="109"/>
      <c r="F56" s="109"/>
      <c r="G56" s="109"/>
      <c r="H56" s="108"/>
      <c r="I56" s="108"/>
      <c r="J56" s="302"/>
    </row>
    <row r="57" spans="2:10" ht="51">
      <c r="B57" s="345" t="s">
        <v>636</v>
      </c>
      <c r="C57" s="346"/>
      <c r="D57" s="27" t="s">
        <v>639</v>
      </c>
      <c r="E57" s="28" t="s">
        <v>640</v>
      </c>
      <c r="F57" s="28" t="s">
        <v>641</v>
      </c>
      <c r="G57" s="28" t="s">
        <v>642</v>
      </c>
      <c r="H57" s="320" t="str">
        <f t="shared" ref="H57:H63" si="1">IF($M$9=FALSE,"-","〇")</f>
        <v>〇</v>
      </c>
      <c r="I57" s="81"/>
      <c r="J57" s="82"/>
    </row>
    <row r="58" spans="2:10" ht="51">
      <c r="B58" s="345" t="s">
        <v>637</v>
      </c>
      <c r="C58" s="346"/>
      <c r="D58" s="29"/>
      <c r="E58" s="28" t="s">
        <v>644</v>
      </c>
      <c r="F58" s="28" t="s">
        <v>645</v>
      </c>
      <c r="G58" s="28" t="s">
        <v>646</v>
      </c>
      <c r="H58" s="320" t="str">
        <f t="shared" si="1"/>
        <v>〇</v>
      </c>
      <c r="I58" s="81"/>
      <c r="J58" s="82"/>
    </row>
    <row r="59" spans="2:10" ht="85">
      <c r="B59" s="345" t="s">
        <v>638</v>
      </c>
      <c r="C59" s="346"/>
      <c r="D59" s="29"/>
      <c r="E59" s="28" t="s">
        <v>648</v>
      </c>
      <c r="F59" s="28" t="s">
        <v>649</v>
      </c>
      <c r="G59" s="28" t="s">
        <v>650</v>
      </c>
      <c r="H59" s="320" t="str">
        <f t="shared" si="1"/>
        <v>〇</v>
      </c>
      <c r="I59" s="81"/>
      <c r="J59" s="82"/>
    </row>
    <row r="60" spans="2:10" ht="102">
      <c r="B60" s="345" t="s">
        <v>643</v>
      </c>
      <c r="C60" s="346"/>
      <c r="D60" s="30"/>
      <c r="E60" s="28" t="s">
        <v>652</v>
      </c>
      <c r="F60" s="28" t="s">
        <v>653</v>
      </c>
      <c r="G60" s="28" t="s">
        <v>654</v>
      </c>
      <c r="H60" s="320" t="str">
        <f t="shared" si="1"/>
        <v>〇</v>
      </c>
      <c r="I60" s="81"/>
      <c r="J60" s="82"/>
    </row>
    <row r="61" spans="2:10" ht="68">
      <c r="B61" s="345" t="s">
        <v>647</v>
      </c>
      <c r="C61" s="346"/>
      <c r="D61" s="27" t="s">
        <v>656</v>
      </c>
      <c r="E61" s="28" t="s">
        <v>657</v>
      </c>
      <c r="F61" s="28" t="s">
        <v>658</v>
      </c>
      <c r="G61" s="28" t="s">
        <v>659</v>
      </c>
      <c r="H61" s="320" t="str">
        <f t="shared" si="1"/>
        <v>〇</v>
      </c>
      <c r="I61" s="81"/>
      <c r="J61" s="82"/>
    </row>
    <row r="62" spans="2:10" ht="51">
      <c r="B62" s="345" t="s">
        <v>651</v>
      </c>
      <c r="C62" s="346"/>
      <c r="D62" s="29"/>
      <c r="E62" s="359" t="s">
        <v>660</v>
      </c>
      <c r="F62" s="28" t="s">
        <v>661</v>
      </c>
      <c r="G62" s="28" t="s">
        <v>662</v>
      </c>
      <c r="H62" s="320" t="str">
        <f t="shared" si="1"/>
        <v>〇</v>
      </c>
      <c r="I62" s="81"/>
      <c r="J62" s="82"/>
    </row>
    <row r="63" spans="2:10" ht="51">
      <c r="B63" s="345" t="s">
        <v>655</v>
      </c>
      <c r="C63" s="346"/>
      <c r="D63" s="30"/>
      <c r="E63" s="360"/>
      <c r="F63" s="28" t="s">
        <v>663</v>
      </c>
      <c r="G63" s="28" t="s">
        <v>664</v>
      </c>
      <c r="H63" s="320" t="str">
        <f t="shared" si="1"/>
        <v>〇</v>
      </c>
      <c r="I63" s="81"/>
      <c r="J63" s="82"/>
    </row>
    <row r="64" spans="2:10" ht="20.25" customHeight="1">
      <c r="B64" s="106">
        <v>5</v>
      </c>
      <c r="C64" s="107" t="s">
        <v>665</v>
      </c>
      <c r="D64" s="108"/>
      <c r="E64" s="109"/>
      <c r="F64" s="109"/>
      <c r="G64" s="109"/>
      <c r="H64" s="108"/>
      <c r="I64" s="108"/>
      <c r="J64" s="302"/>
    </row>
    <row r="65" spans="2:10" ht="51">
      <c r="B65" s="345" t="s">
        <v>679</v>
      </c>
      <c r="C65" s="346"/>
      <c r="D65" s="27" t="s">
        <v>666</v>
      </c>
      <c r="E65" s="173" t="s">
        <v>667</v>
      </c>
      <c r="F65" s="28" t="s">
        <v>668</v>
      </c>
      <c r="G65" s="28" t="s">
        <v>669</v>
      </c>
      <c r="H65" s="320" t="str">
        <f>IF($M$10=FALSE,"-","〇")</f>
        <v>〇</v>
      </c>
      <c r="I65" s="81"/>
      <c r="J65" s="82"/>
    </row>
    <row r="66" spans="2:10" ht="85">
      <c r="B66" s="345" t="s">
        <v>684</v>
      </c>
      <c r="C66" s="346"/>
      <c r="D66" s="30"/>
      <c r="E66" s="182" t="s">
        <v>670</v>
      </c>
      <c r="F66" s="28" t="s">
        <v>671</v>
      </c>
      <c r="G66" s="28" t="s">
        <v>672</v>
      </c>
      <c r="H66" s="320" t="str">
        <f>IF($M$10=FALSE,"-","〇")</f>
        <v>〇</v>
      </c>
      <c r="I66" s="81"/>
      <c r="J66" s="82"/>
    </row>
    <row r="67" spans="2:10" ht="20.25" customHeight="1">
      <c r="B67" s="106">
        <v>6</v>
      </c>
      <c r="C67" s="107" t="s">
        <v>673</v>
      </c>
      <c r="D67" s="108"/>
      <c r="E67" s="109"/>
      <c r="F67" s="109"/>
      <c r="G67" s="109"/>
      <c r="H67" s="108"/>
      <c r="I67" s="108"/>
      <c r="J67" s="302"/>
    </row>
    <row r="68" spans="2:10" ht="68">
      <c r="B68" s="345" t="s">
        <v>674</v>
      </c>
      <c r="C68" s="346"/>
      <c r="D68" s="27" t="s">
        <v>673</v>
      </c>
      <c r="E68" s="173" t="s">
        <v>675</v>
      </c>
      <c r="F68" s="28" t="s">
        <v>676</v>
      </c>
      <c r="G68" s="28" t="s">
        <v>677</v>
      </c>
      <c r="H68" s="320" t="str">
        <f>IF($M$11=FALSE,"-","〇")</f>
        <v>〇</v>
      </c>
      <c r="I68" s="81"/>
      <c r="J68" s="82"/>
    </row>
    <row r="69" spans="2:10" ht="20.25" customHeight="1">
      <c r="B69" s="106">
        <v>5</v>
      </c>
      <c r="C69" s="107" t="s">
        <v>678</v>
      </c>
      <c r="D69" s="108"/>
      <c r="E69" s="109"/>
      <c r="F69" s="109"/>
      <c r="G69" s="109"/>
      <c r="H69" s="108"/>
      <c r="I69" s="108"/>
      <c r="J69" s="302"/>
    </row>
    <row r="70" spans="2:10" ht="33.75" customHeight="1">
      <c r="B70" s="345" t="s">
        <v>679</v>
      </c>
      <c r="C70" s="346"/>
      <c r="D70" s="28" t="s">
        <v>680</v>
      </c>
      <c r="E70" s="28" t="s">
        <v>681</v>
      </c>
      <c r="F70" s="28" t="s">
        <v>682</v>
      </c>
      <c r="G70" s="28" t="s">
        <v>683</v>
      </c>
      <c r="H70" s="320" t="s">
        <v>537</v>
      </c>
      <c r="I70" s="81"/>
      <c r="J70" s="82"/>
    </row>
    <row r="71" spans="2:10" ht="33.75" customHeight="1">
      <c r="B71" s="345" t="s">
        <v>684</v>
      </c>
      <c r="C71" s="346"/>
      <c r="D71" s="28"/>
      <c r="E71" s="28" t="s">
        <v>685</v>
      </c>
      <c r="F71" s="28" t="s">
        <v>686</v>
      </c>
      <c r="G71" s="84" t="s">
        <v>522</v>
      </c>
      <c r="H71" s="319" t="s">
        <v>537</v>
      </c>
      <c r="I71" s="81"/>
      <c r="J71" s="82"/>
    </row>
    <row r="72" spans="2:10" ht="68">
      <c r="B72" s="345" t="s">
        <v>687</v>
      </c>
      <c r="C72" s="346"/>
      <c r="D72" s="28" t="s">
        <v>688</v>
      </c>
      <c r="E72" s="28" t="s">
        <v>689</v>
      </c>
      <c r="F72" s="28" t="s">
        <v>1577</v>
      </c>
      <c r="G72" s="28" t="s">
        <v>690</v>
      </c>
      <c r="H72" s="320" t="s">
        <v>537</v>
      </c>
      <c r="I72" s="81"/>
      <c r="J72" s="82"/>
    </row>
    <row r="73" spans="2:10" ht="34">
      <c r="B73" s="358" t="s">
        <v>691</v>
      </c>
      <c r="C73" s="358"/>
      <c r="D73" s="28" t="s">
        <v>692</v>
      </c>
      <c r="E73" s="28" t="s">
        <v>693</v>
      </c>
      <c r="F73" s="28" t="s">
        <v>694</v>
      </c>
      <c r="G73" s="28"/>
      <c r="H73" s="320"/>
      <c r="I73" s="81"/>
      <c r="J73" s="82"/>
    </row>
    <row r="74" spans="2:10" ht="68">
      <c r="B74" s="361" t="s">
        <v>1593</v>
      </c>
      <c r="C74" s="361"/>
      <c r="D74" s="69" t="s">
        <v>1594</v>
      </c>
      <c r="E74" s="69" t="s">
        <v>1595</v>
      </c>
      <c r="F74" s="69" t="s">
        <v>1596</v>
      </c>
      <c r="G74" s="69" t="s">
        <v>1597</v>
      </c>
      <c r="H74" s="320"/>
      <c r="I74" s="81"/>
      <c r="J74" s="82"/>
    </row>
  </sheetData>
  <mergeCells count="61">
    <mergeCell ref="B73:C73"/>
    <mergeCell ref="B37:C37"/>
    <mergeCell ref="B44:C44"/>
    <mergeCell ref="B43:C43"/>
    <mergeCell ref="B19:C19"/>
    <mergeCell ref="B22:C22"/>
    <mergeCell ref="B42:C42"/>
    <mergeCell ref="B33:C33"/>
    <mergeCell ref="B32:C32"/>
    <mergeCell ref="B36:C36"/>
    <mergeCell ref="B74:C74"/>
    <mergeCell ref="B14:C14"/>
    <mergeCell ref="B24:C24"/>
    <mergeCell ref="B23:C23"/>
    <mergeCell ref="B31:C31"/>
    <mergeCell ref="B26:C26"/>
    <mergeCell ref="B27:C27"/>
    <mergeCell ref="B25:C25"/>
    <mergeCell ref="B16:C16"/>
    <mergeCell ref="B40:C40"/>
    <mergeCell ref="B30:C30"/>
    <mergeCell ref="B34:C34"/>
    <mergeCell ref="B17:C17"/>
    <mergeCell ref="B21:C21"/>
    <mergeCell ref="B35:C35"/>
    <mergeCell ref="B38:C38"/>
    <mergeCell ref="B20:C20"/>
    <mergeCell ref="B2:C2"/>
    <mergeCell ref="B3:C3"/>
    <mergeCell ref="B4:C4"/>
    <mergeCell ref="B5:C5"/>
    <mergeCell ref="B6:C6"/>
    <mergeCell ref="C8:D8"/>
    <mergeCell ref="B53:C53"/>
    <mergeCell ref="B71:C71"/>
    <mergeCell ref="E62:E63"/>
    <mergeCell ref="B63:C63"/>
    <mergeCell ref="B70:C70"/>
    <mergeCell ref="B65:C65"/>
    <mergeCell ref="B61:C61"/>
    <mergeCell ref="B68:C68"/>
    <mergeCell ref="B49:C49"/>
    <mergeCell ref="B72:C72"/>
    <mergeCell ref="B52:C52"/>
    <mergeCell ref="B57:C57"/>
    <mergeCell ref="B59:C59"/>
    <mergeCell ref="B54:C54"/>
    <mergeCell ref="B60:C60"/>
    <mergeCell ref="B62:C62"/>
    <mergeCell ref="B55:C55"/>
    <mergeCell ref="B58:C58"/>
    <mergeCell ref="B41:C41"/>
    <mergeCell ref="B28:C28"/>
    <mergeCell ref="B39:C39"/>
    <mergeCell ref="B48:C48"/>
    <mergeCell ref="B66:C66"/>
    <mergeCell ref="B45:C45"/>
    <mergeCell ref="B46:C46"/>
    <mergeCell ref="B50:C50"/>
    <mergeCell ref="B47:C47"/>
    <mergeCell ref="B51:C51"/>
  </mergeCells>
  <phoneticPr fontId="21"/>
  <conditionalFormatting sqref="B30:J55">
    <cfRule type="expression" dxfId="8" priority="37">
      <formula>$M$12=FALSE</formula>
    </cfRule>
  </conditionalFormatting>
  <conditionalFormatting sqref="B57:J63">
    <cfRule type="expression" dxfId="7" priority="39">
      <formula>$M$9=FALSE</formula>
    </cfRule>
  </conditionalFormatting>
  <conditionalFormatting sqref="B65:J66">
    <cfRule type="expression" dxfId="6" priority="41">
      <formula>$M$10=FALSE</formula>
    </cfRule>
  </conditionalFormatting>
  <conditionalFormatting sqref="B68:J68">
    <cfRule type="expression" dxfId="5" priority="43">
      <formula>$M$11=FALSE</formula>
    </cfRule>
  </conditionalFormatting>
  <dataValidations count="1">
    <dataValidation type="list" allowBlank="1" showInputMessage="1" showErrorMessage="1" sqref="I30:I55 I19:I28 I16:I17 I65:I66 I68 I57:I63 I70:I74" xr:uid="{513F00B6-BE22-3A4A-97D5-9D8788A12D1D}">
      <formula1>$K$16:$K$20</formula1>
    </dataValidation>
  </dataValidations>
  <pageMargins left="0.31496062992125984" right="0.31496062992125984" top="0.55118110236220474" bottom="0.55118110236220474" header="0.31496062992125984" footer="0.31496062992125984"/>
  <pageSetup paperSize="9" scale="34" fitToHeight="0" orientation="portrait"/>
  <headerFooter>
    <oddHeader>&amp;C&amp;A</oddHeader>
    <oddFooter>&amp;C&amp;P/&amp;N</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9218" r:id="rId3" name="Check Box 2">
              <controlPr defaultSize="0" autoFill="0" autoLine="0" autoPict="0">
                <anchor moveWithCells="1">
                  <from>
                    <xdr:col>1</xdr:col>
                    <xdr:colOff>203200</xdr:colOff>
                    <xdr:row>11</xdr:row>
                    <xdr:rowOff>0</xdr:rowOff>
                  </from>
                  <to>
                    <xdr:col>3</xdr:col>
                    <xdr:colOff>0</xdr:colOff>
                    <xdr:row>12</xdr:row>
                    <xdr:rowOff>0</xdr:rowOff>
                  </to>
                </anchor>
              </controlPr>
            </control>
          </mc:Choice>
        </mc:AlternateContent>
        <mc:AlternateContent xmlns:mc="http://schemas.openxmlformats.org/markup-compatibility/2006">
          <mc:Choice Requires="x14">
            <control shapeId="9219" r:id="rId4" name="Check Box 3">
              <controlPr defaultSize="0" autoFill="0" autoLine="0" autoPict="0">
                <anchor moveWithCells="1">
                  <from>
                    <xdr:col>1</xdr:col>
                    <xdr:colOff>203200</xdr:colOff>
                    <xdr:row>8</xdr:row>
                    <xdr:rowOff>0</xdr:rowOff>
                  </from>
                  <to>
                    <xdr:col>3</xdr:col>
                    <xdr:colOff>0</xdr:colOff>
                    <xdr:row>9</xdr:row>
                    <xdr:rowOff>0</xdr:rowOff>
                  </to>
                </anchor>
              </controlPr>
            </control>
          </mc:Choice>
        </mc:AlternateContent>
        <mc:AlternateContent xmlns:mc="http://schemas.openxmlformats.org/markup-compatibility/2006">
          <mc:Choice Requires="x14">
            <control shapeId="9220" r:id="rId5" name="Check Box 4">
              <controlPr defaultSize="0" autoFill="0" autoLine="0" autoPict="0">
                <anchor moveWithCells="1">
                  <from>
                    <xdr:col>1</xdr:col>
                    <xdr:colOff>203200</xdr:colOff>
                    <xdr:row>9</xdr:row>
                    <xdr:rowOff>0</xdr:rowOff>
                  </from>
                  <to>
                    <xdr:col>3</xdr:col>
                    <xdr:colOff>0</xdr:colOff>
                    <xdr:row>10</xdr:row>
                    <xdr:rowOff>0</xdr:rowOff>
                  </to>
                </anchor>
              </controlPr>
            </control>
          </mc:Choice>
        </mc:AlternateContent>
        <mc:AlternateContent xmlns:mc="http://schemas.openxmlformats.org/markup-compatibility/2006">
          <mc:Choice Requires="x14">
            <control shapeId="9221" r:id="rId6" name="Check Box 5">
              <controlPr defaultSize="0" autoFill="0" autoLine="0" autoPict="0">
                <anchor moveWithCells="1">
                  <from>
                    <xdr:col>1</xdr:col>
                    <xdr:colOff>203200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9223" r:id="rId7" name="Check Box 7">
              <controlPr defaultSize="0" autoFill="0" autoLine="0" autoPict="0">
                <anchor moveWithCells="1">
                  <from>
                    <xdr:col>1</xdr:col>
                    <xdr:colOff>203200</xdr:colOff>
                    <xdr:row>8</xdr:row>
                    <xdr:rowOff>0</xdr:rowOff>
                  </from>
                  <to>
                    <xdr:col>3</xdr:col>
                    <xdr:colOff>0</xdr:colOff>
                    <xdr:row>9</xdr:row>
                    <xdr:rowOff>0</xdr:rowOff>
                  </to>
                </anchor>
              </controlPr>
            </control>
          </mc:Choice>
        </mc:AlternateContent>
        <mc:AlternateContent xmlns:mc="http://schemas.openxmlformats.org/markup-compatibility/2006">
          <mc:Choice Requires="x14">
            <control shapeId="9224" r:id="rId8" name="Check Box 8">
              <controlPr defaultSize="0" autoFill="0" autoLine="0" autoPict="0">
                <anchor moveWithCells="1">
                  <from>
                    <xdr:col>1</xdr:col>
                    <xdr:colOff>203200</xdr:colOff>
                    <xdr:row>9</xdr:row>
                    <xdr:rowOff>0</xdr:rowOff>
                  </from>
                  <to>
                    <xdr:col>3</xdr:col>
                    <xdr:colOff>0</xdr:colOff>
                    <xdr:row>10</xdr:row>
                    <xdr:rowOff>0</xdr:rowOff>
                  </to>
                </anchor>
              </controlPr>
            </control>
          </mc:Choice>
        </mc:AlternateContent>
        <mc:AlternateContent xmlns:mc="http://schemas.openxmlformats.org/markup-compatibility/2006">
          <mc:Choice Requires="x14">
            <control shapeId="9225" r:id="rId9" name="Check Box 9">
              <controlPr defaultSize="0" autoFill="0" autoLine="0" autoPict="0">
                <anchor moveWithCells="1">
                  <from>
                    <xdr:col>1</xdr:col>
                    <xdr:colOff>203200</xdr:colOff>
                    <xdr:row>10</xdr:row>
                    <xdr:rowOff>0</xdr:rowOff>
                  </from>
                  <to>
                    <xdr:col>3</xdr:col>
                    <xdr:colOff>0</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711B-F364-B944-BA41-2247804A70C6}">
  <sheetPr>
    <pageSetUpPr fitToPage="1"/>
  </sheetPr>
  <dimension ref="B1:O116"/>
  <sheetViews>
    <sheetView showGridLines="0" view="pageBreakPreview" zoomScale="70" zoomScaleNormal="70" zoomScaleSheetLayoutView="70" workbookViewId="0">
      <pane xSplit="1" ySplit="19" topLeftCell="B20" activePane="bottomRight" state="frozen"/>
      <selection pane="topRight" activeCell="B6" sqref="B6:C6"/>
      <selection pane="bottomLeft" activeCell="B6" sqref="B6:C6"/>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9.1640625" style="88" customWidth="1"/>
    <col min="9" max="9" width="5.6640625" style="88" customWidth="1"/>
    <col min="10" max="10" width="50.6640625" style="87" customWidth="1"/>
    <col min="11" max="14" width="3.6640625" style="87"/>
    <col min="15" max="15" width="7.5" style="87" bestFit="1" customWidth="1"/>
    <col min="16" max="16384" width="3.6640625" style="87"/>
  </cols>
  <sheetData>
    <row r="1" spans="2:15" ht="4.5" customHeight="1"/>
    <row r="2" spans="2:15" ht="68">
      <c r="B2" s="350"/>
      <c r="C2" s="351"/>
      <c r="D2" s="89"/>
      <c r="E2" s="89" t="s">
        <v>278</v>
      </c>
      <c r="F2" s="304" t="s">
        <v>695</v>
      </c>
      <c r="G2" s="90" t="s">
        <v>280</v>
      </c>
      <c r="H2" s="314"/>
      <c r="I2" s="91"/>
      <c r="J2" s="92"/>
    </row>
    <row r="3" spans="2:15" ht="25" customHeight="1">
      <c r="B3" s="352" t="s">
        <v>281</v>
      </c>
      <c r="C3" s="353"/>
      <c r="D3" s="93" t="s">
        <v>282</v>
      </c>
      <c r="E3" s="94"/>
      <c r="F3" s="94"/>
      <c r="G3" s="95"/>
      <c r="H3" s="314"/>
      <c r="I3" s="91"/>
      <c r="J3" s="92"/>
    </row>
    <row r="4" spans="2:15" ht="25" customHeight="1">
      <c r="B4" s="354"/>
      <c r="C4" s="355"/>
      <c r="D4" s="94" t="s">
        <v>283</v>
      </c>
      <c r="E4" s="94"/>
      <c r="F4" s="94"/>
      <c r="G4" s="95"/>
      <c r="H4" s="314"/>
      <c r="I4" s="91"/>
      <c r="J4" s="92"/>
    </row>
    <row r="5" spans="2:15" ht="25" customHeight="1">
      <c r="B5" s="352" t="s">
        <v>284</v>
      </c>
      <c r="C5" s="353"/>
      <c r="D5" s="94" t="s">
        <v>285</v>
      </c>
      <c r="E5" s="94"/>
      <c r="F5" s="95"/>
      <c r="G5" s="96"/>
      <c r="H5" s="318"/>
      <c r="I5" s="91"/>
      <c r="J5" s="92"/>
    </row>
    <row r="6" spans="2:15" ht="25" customHeight="1">
      <c r="B6" s="354"/>
      <c r="C6" s="355"/>
      <c r="D6" s="94" t="s">
        <v>286</v>
      </c>
      <c r="E6" s="94"/>
      <c r="F6" s="95"/>
      <c r="G6" s="96"/>
      <c r="H6" s="318"/>
      <c r="I6" s="91"/>
      <c r="J6" s="92"/>
    </row>
    <row r="7" spans="2:15" ht="16.5" customHeight="1"/>
    <row r="8" spans="2:15" ht="15" customHeight="1">
      <c r="B8" s="305"/>
      <c r="C8" s="306"/>
      <c r="D8" s="307" t="s">
        <v>696</v>
      </c>
      <c r="E8" s="89" t="s">
        <v>697</v>
      </c>
      <c r="F8" s="90" t="s">
        <v>698</v>
      </c>
      <c r="G8" s="96"/>
      <c r="H8" s="318"/>
      <c r="I8" s="91"/>
      <c r="J8" s="92"/>
    </row>
    <row r="9" spans="2:15" ht="25" customHeight="1">
      <c r="B9" s="364" t="s">
        <v>699</v>
      </c>
      <c r="C9" s="365"/>
      <c r="D9" s="183"/>
      <c r="E9" s="94"/>
      <c r="F9" s="95"/>
      <c r="G9" s="96"/>
      <c r="H9" s="318"/>
      <c r="I9" s="91"/>
      <c r="J9" s="92"/>
    </row>
    <row r="10" spans="2:15" ht="25" customHeight="1">
      <c r="B10" s="364" t="s">
        <v>700</v>
      </c>
      <c r="C10" s="365"/>
      <c r="D10" s="183"/>
      <c r="E10" s="94"/>
      <c r="F10" s="95"/>
      <c r="G10" s="96"/>
      <c r="H10" s="318"/>
      <c r="I10" s="91"/>
      <c r="J10" s="92"/>
    </row>
    <row r="11" spans="2:15" ht="16.5" customHeight="1">
      <c r="J11" s="315"/>
    </row>
    <row r="12" spans="2:15" ht="20.25" hidden="1" customHeight="1">
      <c r="B12" s="316"/>
      <c r="C12" s="349" t="s">
        <v>287</v>
      </c>
      <c r="D12" s="349"/>
      <c r="E12" s="314"/>
      <c r="F12" s="314"/>
      <c r="G12" s="96"/>
      <c r="H12" s="318"/>
      <c r="I12" s="318"/>
      <c r="J12" s="314"/>
      <c r="K12" s="92"/>
    </row>
    <row r="13" spans="2:15" ht="20.25" hidden="1" customHeight="1">
      <c r="B13" s="316"/>
      <c r="C13" s="317"/>
      <c r="D13" s="95" t="s">
        <v>288</v>
      </c>
      <c r="E13" s="314"/>
      <c r="F13" s="314"/>
      <c r="G13" s="96"/>
      <c r="H13" s="318"/>
      <c r="I13" s="318"/>
      <c r="J13" s="314"/>
      <c r="K13" s="92"/>
      <c r="O13" s="87" t="b">
        <v>1</v>
      </c>
    </row>
    <row r="14" spans="2:15" ht="20.25" hidden="1" customHeight="1">
      <c r="B14" s="316"/>
      <c r="C14" s="317"/>
      <c r="D14" s="95" t="s">
        <v>289</v>
      </c>
      <c r="E14" s="314"/>
      <c r="F14" s="314"/>
      <c r="G14" s="96"/>
      <c r="H14" s="318"/>
      <c r="I14" s="318"/>
      <c r="J14" s="314"/>
      <c r="K14" s="92"/>
      <c r="O14" s="87" t="b">
        <v>1</v>
      </c>
    </row>
    <row r="15" spans="2:15" ht="20.25" hidden="1" customHeight="1">
      <c r="B15" s="316"/>
      <c r="C15" s="317"/>
      <c r="D15" s="95" t="s">
        <v>290</v>
      </c>
      <c r="E15" s="314"/>
      <c r="F15" s="314"/>
      <c r="G15" s="96"/>
      <c r="H15" s="318"/>
      <c r="I15" s="318"/>
      <c r="J15" s="314"/>
      <c r="K15" s="92"/>
      <c r="O15" s="87" t="b">
        <v>1</v>
      </c>
    </row>
    <row r="16" spans="2:15" ht="20.25" hidden="1" customHeight="1">
      <c r="B16" s="316"/>
      <c r="C16" s="317"/>
      <c r="D16" s="95" t="s">
        <v>701</v>
      </c>
      <c r="E16" s="314"/>
      <c r="F16" s="314"/>
      <c r="G16" s="96"/>
      <c r="H16" s="318"/>
      <c r="I16" s="318"/>
      <c r="J16" s="314"/>
      <c r="K16" s="92"/>
      <c r="O16" s="87" t="b">
        <v>1</v>
      </c>
    </row>
    <row r="17" spans="2:15" ht="20.25" hidden="1" customHeight="1">
      <c r="B17" s="316"/>
      <c r="C17" s="317"/>
      <c r="D17" s="95" t="s">
        <v>291</v>
      </c>
      <c r="E17" s="314"/>
      <c r="F17" s="314"/>
      <c r="G17" s="96"/>
      <c r="H17" s="318"/>
      <c r="I17" s="318"/>
      <c r="J17" s="314"/>
      <c r="K17" s="92"/>
      <c r="O17" s="87" t="b">
        <v>1</v>
      </c>
    </row>
    <row r="18" spans="2:15" ht="16.5" customHeight="1"/>
    <row r="19" spans="2:15" ht="36" customHeight="1" thickBot="1">
      <c r="B19" s="356" t="s">
        <v>293</v>
      </c>
      <c r="C19" s="357"/>
      <c r="D19" s="332" t="s">
        <v>294</v>
      </c>
      <c r="E19" s="332" t="s">
        <v>295</v>
      </c>
      <c r="F19" s="332" t="s">
        <v>296</v>
      </c>
      <c r="G19" s="332" t="s">
        <v>297</v>
      </c>
      <c r="H19" s="321" t="s">
        <v>298</v>
      </c>
      <c r="I19" s="97" t="s">
        <v>299</v>
      </c>
      <c r="J19" s="98" t="s">
        <v>300</v>
      </c>
    </row>
    <row r="20" spans="2:15" ht="20.25" customHeight="1" thickTop="1">
      <c r="B20" s="99">
        <v>1</v>
      </c>
      <c r="C20" s="100" t="s">
        <v>301</v>
      </c>
      <c r="D20" s="101"/>
      <c r="E20" s="102"/>
      <c r="F20" s="102"/>
      <c r="G20" s="102"/>
      <c r="H20" s="103"/>
      <c r="I20" s="103"/>
      <c r="J20" s="104"/>
    </row>
    <row r="21" spans="2:15" ht="34">
      <c r="B21" s="345" t="s">
        <v>302</v>
      </c>
      <c r="C21" s="346"/>
      <c r="D21" s="84"/>
      <c r="E21" s="84" t="s">
        <v>702</v>
      </c>
      <c r="F21" s="84" t="s">
        <v>703</v>
      </c>
      <c r="G21" s="84"/>
      <c r="H21" s="94" t="s">
        <v>320</v>
      </c>
      <c r="I21" s="81"/>
      <c r="J21" s="82"/>
    </row>
    <row r="22" spans="2:15" ht="34">
      <c r="B22" s="345" t="s">
        <v>306</v>
      </c>
      <c r="C22" s="346"/>
      <c r="D22" s="105"/>
      <c r="E22" s="28" t="s">
        <v>704</v>
      </c>
      <c r="F22" s="28" t="s">
        <v>705</v>
      </c>
      <c r="G22" s="84"/>
      <c r="H22" s="319" t="s">
        <v>309</v>
      </c>
      <c r="I22" s="81"/>
      <c r="J22" s="82"/>
      <c r="K22" s="87" t="s">
        <v>310</v>
      </c>
    </row>
    <row r="23" spans="2:15" ht="34">
      <c r="B23" s="345" t="s">
        <v>706</v>
      </c>
      <c r="C23" s="346"/>
      <c r="D23" s="105"/>
      <c r="E23" s="28" t="s">
        <v>707</v>
      </c>
      <c r="F23" s="28" t="s">
        <v>1578</v>
      </c>
      <c r="G23" s="84"/>
      <c r="H23" s="319" t="s">
        <v>309</v>
      </c>
      <c r="I23" s="81"/>
      <c r="J23" s="82"/>
      <c r="K23" s="87" t="s">
        <v>312</v>
      </c>
    </row>
    <row r="24" spans="2:15" ht="34">
      <c r="B24" s="345" t="s">
        <v>711</v>
      </c>
      <c r="C24" s="346"/>
      <c r="D24" s="105"/>
      <c r="E24" s="28" t="s">
        <v>712</v>
      </c>
      <c r="F24" s="28" t="s">
        <v>713</v>
      </c>
      <c r="G24" s="84" t="s">
        <v>714</v>
      </c>
      <c r="H24" s="319" t="s">
        <v>309</v>
      </c>
      <c r="I24" s="81"/>
      <c r="J24" s="82"/>
    </row>
    <row r="25" spans="2:15" ht="20.25" customHeight="1">
      <c r="B25" s="106">
        <v>2</v>
      </c>
      <c r="C25" s="107" t="s">
        <v>715</v>
      </c>
      <c r="D25" s="108"/>
      <c r="E25" s="109"/>
      <c r="F25" s="109"/>
      <c r="G25" s="109"/>
      <c r="H25" s="108"/>
      <c r="I25" s="108"/>
      <c r="J25" s="109"/>
    </row>
    <row r="26" spans="2:15" ht="51">
      <c r="B26" s="358" t="s">
        <v>313</v>
      </c>
      <c r="C26" s="358"/>
      <c r="D26" s="27" t="s">
        <v>716</v>
      </c>
      <c r="E26" s="27" t="s">
        <v>717</v>
      </c>
      <c r="F26" s="28" t="s">
        <v>1579</v>
      </c>
      <c r="G26" s="28"/>
      <c r="H26" s="320" t="str">
        <f t="shared" ref="H26:H57" si="0">IF($O$13=FALSE,"-","〇")</f>
        <v>〇</v>
      </c>
      <c r="I26" s="81"/>
      <c r="J26" s="82"/>
    </row>
    <row r="27" spans="2:15" ht="34">
      <c r="B27" s="358" t="s">
        <v>317</v>
      </c>
      <c r="C27" s="358"/>
      <c r="D27" s="29"/>
      <c r="E27" s="29"/>
      <c r="F27" s="28" t="s">
        <v>718</v>
      </c>
      <c r="G27" s="28"/>
      <c r="H27" s="320" t="str">
        <f t="shared" si="0"/>
        <v>〇</v>
      </c>
      <c r="I27" s="81"/>
      <c r="J27" s="82"/>
    </row>
    <row r="28" spans="2:15" ht="51">
      <c r="B28" s="358" t="s">
        <v>318</v>
      </c>
      <c r="C28" s="358"/>
      <c r="D28" s="78"/>
      <c r="E28" s="29"/>
      <c r="F28" s="172" t="s">
        <v>719</v>
      </c>
      <c r="G28" s="28"/>
      <c r="H28" s="320" t="str">
        <f t="shared" si="0"/>
        <v>〇</v>
      </c>
      <c r="I28" s="81"/>
      <c r="J28" s="82"/>
    </row>
    <row r="29" spans="2:15" ht="37.5" customHeight="1">
      <c r="B29" s="358" t="s">
        <v>321</v>
      </c>
      <c r="C29" s="358"/>
      <c r="D29" s="78"/>
      <c r="E29" s="29"/>
      <c r="F29" s="172" t="s">
        <v>1580</v>
      </c>
      <c r="G29" s="28"/>
      <c r="H29" s="320" t="str">
        <f t="shared" si="0"/>
        <v>〇</v>
      </c>
      <c r="I29" s="81"/>
      <c r="J29" s="82"/>
    </row>
    <row r="30" spans="2:15" ht="37.5" customHeight="1">
      <c r="B30" s="358" t="s">
        <v>324</v>
      </c>
      <c r="C30" s="358"/>
      <c r="D30" s="29"/>
      <c r="E30" s="30"/>
      <c r="F30" s="28" t="s">
        <v>720</v>
      </c>
      <c r="G30" s="28"/>
      <c r="H30" s="320" t="str">
        <f t="shared" si="0"/>
        <v>〇</v>
      </c>
      <c r="I30" s="81"/>
      <c r="J30" s="82"/>
    </row>
    <row r="31" spans="2:15" ht="51">
      <c r="B31" s="358" t="s">
        <v>326</v>
      </c>
      <c r="C31" s="358"/>
      <c r="D31" s="78"/>
      <c r="E31" s="30"/>
      <c r="F31" s="172" t="s">
        <v>721</v>
      </c>
      <c r="G31" s="28" t="s">
        <v>722</v>
      </c>
      <c r="H31" s="320" t="str">
        <f t="shared" si="0"/>
        <v>〇</v>
      </c>
      <c r="I31" s="81"/>
      <c r="J31" s="82"/>
    </row>
    <row r="32" spans="2:15" ht="34">
      <c r="B32" s="358" t="s">
        <v>327</v>
      </c>
      <c r="C32" s="358"/>
      <c r="D32" s="29"/>
      <c r="E32" s="28" t="s">
        <v>319</v>
      </c>
      <c r="F32" s="28" t="s">
        <v>723</v>
      </c>
      <c r="G32" s="28"/>
      <c r="H32" s="320" t="str">
        <f t="shared" si="0"/>
        <v>〇</v>
      </c>
      <c r="I32" s="81"/>
      <c r="J32" s="82"/>
    </row>
    <row r="33" spans="2:10" ht="34">
      <c r="B33" s="358" t="s">
        <v>330</v>
      </c>
      <c r="C33" s="358"/>
      <c r="D33" s="29"/>
      <c r="E33" s="27" t="s">
        <v>322</v>
      </c>
      <c r="F33" s="28" t="s">
        <v>1555</v>
      </c>
      <c r="G33" s="28"/>
      <c r="H33" s="320" t="str">
        <f t="shared" si="0"/>
        <v>〇</v>
      </c>
      <c r="I33" s="81"/>
      <c r="J33" s="82"/>
    </row>
    <row r="34" spans="2:10" ht="51">
      <c r="B34" s="358" t="s">
        <v>334</v>
      </c>
      <c r="C34" s="358"/>
      <c r="D34" s="29"/>
      <c r="E34" s="29"/>
      <c r="F34" s="28" t="s">
        <v>1581</v>
      </c>
      <c r="G34" s="28"/>
      <c r="H34" s="320" t="str">
        <f t="shared" si="0"/>
        <v>〇</v>
      </c>
      <c r="I34" s="81"/>
      <c r="J34" s="82"/>
    </row>
    <row r="35" spans="2:10" ht="51">
      <c r="B35" s="358" t="s">
        <v>335</v>
      </c>
      <c r="C35" s="358"/>
      <c r="D35" s="29"/>
      <c r="E35" s="30"/>
      <c r="F35" s="28" t="s">
        <v>1554</v>
      </c>
      <c r="G35" s="28"/>
      <c r="H35" s="320" t="str">
        <f t="shared" si="0"/>
        <v>〇</v>
      </c>
      <c r="I35" s="81"/>
      <c r="J35" s="82"/>
    </row>
    <row r="36" spans="2:10" ht="34">
      <c r="B36" s="358" t="s">
        <v>336</v>
      </c>
      <c r="C36" s="358"/>
      <c r="D36" s="29"/>
      <c r="E36" s="28" t="s">
        <v>724</v>
      </c>
      <c r="F36" s="28" t="s">
        <v>725</v>
      </c>
      <c r="G36" s="28"/>
      <c r="H36" s="320" t="str">
        <f t="shared" si="0"/>
        <v>〇</v>
      </c>
      <c r="I36" s="81"/>
      <c r="J36" s="82"/>
    </row>
    <row r="37" spans="2:10" ht="34">
      <c r="B37" s="358" t="s">
        <v>339</v>
      </c>
      <c r="C37" s="358"/>
      <c r="D37" s="29"/>
      <c r="E37" s="28" t="s">
        <v>726</v>
      </c>
      <c r="F37" s="28" t="s">
        <v>727</v>
      </c>
      <c r="G37" s="28"/>
      <c r="H37" s="320" t="str">
        <f t="shared" si="0"/>
        <v>〇</v>
      </c>
      <c r="I37" s="81"/>
      <c r="J37" s="82"/>
    </row>
    <row r="38" spans="2:10" ht="85">
      <c r="B38" s="358" t="s">
        <v>342</v>
      </c>
      <c r="C38" s="358"/>
      <c r="D38" s="29"/>
      <c r="E38" s="27" t="s">
        <v>728</v>
      </c>
      <c r="F38" s="28" t="s">
        <v>1582</v>
      </c>
      <c r="G38" s="28" t="s">
        <v>1583</v>
      </c>
      <c r="H38" s="320" t="str">
        <f t="shared" si="0"/>
        <v>〇</v>
      </c>
      <c r="I38" s="81"/>
      <c r="J38" s="82"/>
    </row>
    <row r="39" spans="2:10" ht="34">
      <c r="B39" s="358" t="s">
        <v>344</v>
      </c>
      <c r="C39" s="358"/>
      <c r="D39" s="29"/>
      <c r="E39" s="27" t="s">
        <v>729</v>
      </c>
      <c r="F39" s="28" t="s">
        <v>1584</v>
      </c>
      <c r="G39" s="28"/>
      <c r="H39" s="320" t="str">
        <f t="shared" si="0"/>
        <v>〇</v>
      </c>
      <c r="I39" s="81"/>
      <c r="J39" s="82"/>
    </row>
    <row r="40" spans="2:10" ht="68">
      <c r="B40" s="358" t="s">
        <v>345</v>
      </c>
      <c r="C40" s="358"/>
      <c r="D40" s="29"/>
      <c r="E40" s="27" t="s">
        <v>730</v>
      </c>
      <c r="F40" s="28" t="s">
        <v>731</v>
      </c>
      <c r="G40" s="28"/>
      <c r="H40" s="320" t="str">
        <f t="shared" si="0"/>
        <v>〇</v>
      </c>
      <c r="I40" s="81"/>
      <c r="J40" s="82"/>
    </row>
    <row r="41" spans="2:10" ht="51">
      <c r="B41" s="358" t="s">
        <v>347</v>
      </c>
      <c r="C41" s="358"/>
      <c r="D41" s="29"/>
      <c r="E41" s="29"/>
      <c r="F41" s="28" t="s">
        <v>1585</v>
      </c>
      <c r="G41" s="28"/>
      <c r="H41" s="320" t="str">
        <f t="shared" si="0"/>
        <v>〇</v>
      </c>
      <c r="I41" s="81"/>
      <c r="J41" s="82"/>
    </row>
    <row r="42" spans="2:10" ht="34">
      <c r="B42" s="358" t="s">
        <v>349</v>
      </c>
      <c r="C42" s="358"/>
      <c r="D42" s="29"/>
      <c r="E42" s="29"/>
      <c r="F42" s="28" t="s">
        <v>732</v>
      </c>
      <c r="G42" s="28"/>
      <c r="H42" s="320" t="str">
        <f t="shared" si="0"/>
        <v>〇</v>
      </c>
      <c r="I42" s="81"/>
      <c r="J42" s="82"/>
    </row>
    <row r="43" spans="2:10" ht="68">
      <c r="B43" s="358" t="s">
        <v>351</v>
      </c>
      <c r="C43" s="358"/>
      <c r="D43" s="29"/>
      <c r="E43" s="29"/>
      <c r="F43" s="28" t="s">
        <v>1586</v>
      </c>
      <c r="G43" s="28"/>
      <c r="H43" s="320" t="str">
        <f t="shared" si="0"/>
        <v>〇</v>
      </c>
      <c r="I43" s="81"/>
      <c r="J43" s="82"/>
    </row>
    <row r="44" spans="2:10" ht="34">
      <c r="B44" s="358" t="s">
        <v>354</v>
      </c>
      <c r="C44" s="358"/>
      <c r="D44" s="29"/>
      <c r="E44" s="27" t="s">
        <v>348</v>
      </c>
      <c r="F44" s="28" t="s">
        <v>1553</v>
      </c>
      <c r="G44" s="28"/>
      <c r="H44" s="320" t="str">
        <f t="shared" si="0"/>
        <v>〇</v>
      </c>
      <c r="I44" s="81"/>
      <c r="J44" s="82"/>
    </row>
    <row r="45" spans="2:10" ht="34">
      <c r="B45" s="358" t="s">
        <v>356</v>
      </c>
      <c r="C45" s="358"/>
      <c r="D45" s="29"/>
      <c r="E45" s="28" t="s">
        <v>350</v>
      </c>
      <c r="F45" s="28" t="s">
        <v>1557</v>
      </c>
      <c r="G45" s="28"/>
      <c r="H45" s="320" t="str">
        <f t="shared" si="0"/>
        <v>〇</v>
      </c>
      <c r="I45" s="81"/>
      <c r="J45" s="82"/>
    </row>
    <row r="46" spans="2:10" ht="51">
      <c r="B46" s="358" t="s">
        <v>359</v>
      </c>
      <c r="C46" s="358"/>
      <c r="D46" s="29"/>
      <c r="E46" s="27" t="s">
        <v>352</v>
      </c>
      <c r="F46" s="28" t="s">
        <v>1552</v>
      </c>
      <c r="G46" s="28"/>
      <c r="H46" s="320" t="str">
        <f t="shared" si="0"/>
        <v>〇</v>
      </c>
      <c r="I46" s="81"/>
      <c r="J46" s="82"/>
    </row>
    <row r="47" spans="2:10" ht="34">
      <c r="B47" s="358" t="s">
        <v>362</v>
      </c>
      <c r="C47" s="358"/>
      <c r="D47" s="29"/>
      <c r="E47" s="30"/>
      <c r="F47" s="28" t="s">
        <v>734</v>
      </c>
      <c r="G47" s="28"/>
      <c r="H47" s="320" t="str">
        <f t="shared" si="0"/>
        <v>〇</v>
      </c>
      <c r="I47" s="81"/>
      <c r="J47" s="82"/>
    </row>
    <row r="48" spans="2:10" ht="34">
      <c r="B48" s="358" t="s">
        <v>365</v>
      </c>
      <c r="C48" s="358"/>
      <c r="D48" s="29"/>
      <c r="E48" s="28" t="s">
        <v>735</v>
      </c>
      <c r="F48" s="28" t="s">
        <v>736</v>
      </c>
      <c r="G48" s="28"/>
      <c r="H48" s="320" t="str">
        <f t="shared" si="0"/>
        <v>〇</v>
      </c>
      <c r="I48" s="81"/>
      <c r="J48" s="82"/>
    </row>
    <row r="49" spans="2:10" ht="34">
      <c r="B49" s="358" t="s">
        <v>24</v>
      </c>
      <c r="C49" s="358"/>
      <c r="D49" s="29"/>
      <c r="E49" s="27" t="s">
        <v>737</v>
      </c>
      <c r="F49" s="28" t="s">
        <v>738</v>
      </c>
      <c r="G49" s="28"/>
      <c r="H49" s="320" t="str">
        <f t="shared" si="0"/>
        <v>〇</v>
      </c>
      <c r="I49" s="81"/>
      <c r="J49" s="82"/>
    </row>
    <row r="50" spans="2:10" ht="34">
      <c r="B50" s="358" t="s">
        <v>369</v>
      </c>
      <c r="C50" s="358"/>
      <c r="D50" s="29"/>
      <c r="E50" s="30"/>
      <c r="F50" s="28" t="s">
        <v>739</v>
      </c>
      <c r="G50" s="28"/>
      <c r="H50" s="320" t="str">
        <f t="shared" si="0"/>
        <v>〇</v>
      </c>
      <c r="I50" s="81"/>
      <c r="J50" s="82"/>
    </row>
    <row r="51" spans="2:10" ht="51">
      <c r="B51" s="358" t="s">
        <v>373</v>
      </c>
      <c r="C51" s="358"/>
      <c r="D51" s="29"/>
      <c r="E51" s="28" t="s">
        <v>740</v>
      </c>
      <c r="F51" s="28" t="s">
        <v>741</v>
      </c>
      <c r="G51" s="28"/>
      <c r="H51" s="320" t="str">
        <f t="shared" si="0"/>
        <v>〇</v>
      </c>
      <c r="I51" s="81"/>
      <c r="J51" s="82"/>
    </row>
    <row r="52" spans="2:10" ht="34">
      <c r="B52" s="358" t="s">
        <v>377</v>
      </c>
      <c r="C52" s="358"/>
      <c r="D52" s="29"/>
      <c r="E52" s="28" t="s">
        <v>742</v>
      </c>
      <c r="F52" s="28" t="s">
        <v>743</v>
      </c>
      <c r="G52" s="28"/>
      <c r="H52" s="320" t="str">
        <f t="shared" si="0"/>
        <v>〇</v>
      </c>
      <c r="I52" s="81"/>
      <c r="J52" s="82"/>
    </row>
    <row r="53" spans="2:10" ht="34">
      <c r="B53" s="358" t="s">
        <v>381</v>
      </c>
      <c r="C53" s="358"/>
      <c r="D53" s="29"/>
      <c r="E53" s="28" t="s">
        <v>744</v>
      </c>
      <c r="F53" s="28" t="s">
        <v>745</v>
      </c>
      <c r="G53" s="28"/>
      <c r="H53" s="320" t="str">
        <f t="shared" si="0"/>
        <v>〇</v>
      </c>
      <c r="I53" s="81"/>
      <c r="J53" s="82"/>
    </row>
    <row r="54" spans="2:10" ht="34">
      <c r="B54" s="358" t="s">
        <v>383</v>
      </c>
      <c r="C54" s="358"/>
      <c r="D54" s="29"/>
      <c r="E54" s="28" t="s">
        <v>355</v>
      </c>
      <c r="F54" s="28" t="s">
        <v>746</v>
      </c>
      <c r="G54" s="28"/>
      <c r="H54" s="320" t="str">
        <f t="shared" si="0"/>
        <v>〇</v>
      </c>
      <c r="I54" s="81"/>
      <c r="J54" s="82"/>
    </row>
    <row r="55" spans="2:10" ht="34">
      <c r="B55" s="358" t="s">
        <v>385</v>
      </c>
      <c r="C55" s="358"/>
      <c r="D55" s="29"/>
      <c r="E55" s="28" t="s">
        <v>747</v>
      </c>
      <c r="F55" s="28" t="s">
        <v>748</v>
      </c>
      <c r="G55" s="28"/>
      <c r="H55" s="320" t="str">
        <f t="shared" si="0"/>
        <v>〇</v>
      </c>
      <c r="I55" s="81"/>
      <c r="J55" s="82"/>
    </row>
    <row r="56" spans="2:10" ht="34">
      <c r="B56" s="358" t="s">
        <v>386</v>
      </c>
      <c r="C56" s="358"/>
      <c r="D56" s="29"/>
      <c r="E56" s="28" t="s">
        <v>360</v>
      </c>
      <c r="F56" s="28" t="s">
        <v>749</v>
      </c>
      <c r="G56" s="28"/>
      <c r="H56" s="320" t="str">
        <f t="shared" si="0"/>
        <v>〇</v>
      </c>
      <c r="I56" s="81"/>
      <c r="J56" s="82"/>
    </row>
    <row r="57" spans="2:10" ht="34">
      <c r="B57" s="358" t="s">
        <v>388</v>
      </c>
      <c r="C57" s="358"/>
      <c r="D57" s="29"/>
      <c r="E57" s="28" t="s">
        <v>750</v>
      </c>
      <c r="F57" s="28" t="s">
        <v>751</v>
      </c>
      <c r="G57" s="28" t="s">
        <v>752</v>
      </c>
      <c r="H57" s="320" t="str">
        <f t="shared" si="0"/>
        <v>〇</v>
      </c>
      <c r="I57" s="81"/>
      <c r="J57" s="82"/>
    </row>
    <row r="58" spans="2:10" ht="102">
      <c r="B58" s="358" t="s">
        <v>389</v>
      </c>
      <c r="C58" s="358"/>
      <c r="D58" s="27" t="s">
        <v>753</v>
      </c>
      <c r="E58" s="27" t="s">
        <v>754</v>
      </c>
      <c r="F58" s="28" t="s">
        <v>755</v>
      </c>
      <c r="G58" s="28"/>
      <c r="H58" s="320" t="str">
        <f t="shared" ref="H58:H76" si="1">IF($O$14=FALSE, "-", "〇")</f>
        <v>〇</v>
      </c>
      <c r="I58" s="81"/>
      <c r="J58" s="82"/>
    </row>
    <row r="59" spans="2:10" ht="153">
      <c r="B59" s="358" t="s">
        <v>391</v>
      </c>
      <c r="C59" s="358"/>
      <c r="D59" s="78"/>
      <c r="E59" s="29"/>
      <c r="F59" s="28" t="s">
        <v>756</v>
      </c>
      <c r="G59" s="28" t="s">
        <v>757</v>
      </c>
      <c r="H59" s="320" t="str">
        <f t="shared" si="1"/>
        <v>〇</v>
      </c>
      <c r="I59" s="81"/>
      <c r="J59" s="82"/>
    </row>
    <row r="60" spans="2:10" ht="85">
      <c r="B60" s="358" t="s">
        <v>393</v>
      </c>
      <c r="C60" s="358"/>
      <c r="D60" s="78"/>
      <c r="E60" s="29"/>
      <c r="F60" s="28" t="s">
        <v>758</v>
      </c>
      <c r="G60" s="28" t="s">
        <v>759</v>
      </c>
      <c r="H60" s="320" t="str">
        <f t="shared" si="1"/>
        <v>〇</v>
      </c>
      <c r="I60" s="81"/>
      <c r="J60" s="82"/>
    </row>
    <row r="61" spans="2:10" ht="34">
      <c r="B61" s="358" t="s">
        <v>394</v>
      </c>
      <c r="C61" s="358"/>
      <c r="D61" s="78"/>
      <c r="E61" s="27" t="s">
        <v>322</v>
      </c>
      <c r="F61" s="172" t="s">
        <v>760</v>
      </c>
      <c r="G61" s="28"/>
      <c r="H61" s="320" t="str">
        <f t="shared" si="1"/>
        <v>〇</v>
      </c>
      <c r="I61" s="81"/>
      <c r="J61" s="82"/>
    </row>
    <row r="62" spans="2:10" ht="51">
      <c r="B62" s="358" t="s">
        <v>396</v>
      </c>
      <c r="C62" s="358"/>
      <c r="D62" s="78"/>
      <c r="E62" s="29"/>
      <c r="F62" s="172" t="s">
        <v>761</v>
      </c>
      <c r="G62" s="28"/>
      <c r="H62" s="320" t="str">
        <f t="shared" si="1"/>
        <v>〇</v>
      </c>
      <c r="I62" s="81"/>
      <c r="J62" s="82"/>
    </row>
    <row r="63" spans="2:10" ht="121.25" customHeight="1">
      <c r="B63" s="358" t="s">
        <v>397</v>
      </c>
      <c r="C63" s="358"/>
      <c r="D63" s="78"/>
      <c r="E63" s="29"/>
      <c r="F63" s="172" t="s">
        <v>762</v>
      </c>
      <c r="G63" s="28" t="s">
        <v>763</v>
      </c>
      <c r="H63" s="320" t="str">
        <f t="shared" si="1"/>
        <v>〇</v>
      </c>
      <c r="I63" s="81"/>
      <c r="J63" s="82"/>
    </row>
    <row r="64" spans="2:10" ht="51">
      <c r="B64" s="358" t="s">
        <v>400</v>
      </c>
      <c r="C64" s="358"/>
      <c r="D64" s="78"/>
      <c r="E64" s="29"/>
      <c r="F64" s="172" t="s">
        <v>764</v>
      </c>
      <c r="G64" s="28"/>
      <c r="H64" s="320" t="str">
        <f t="shared" si="1"/>
        <v>〇</v>
      </c>
      <c r="I64" s="81"/>
      <c r="J64" s="82"/>
    </row>
    <row r="65" spans="2:10" ht="51">
      <c r="B65" s="358" t="s">
        <v>402</v>
      </c>
      <c r="C65" s="358"/>
      <c r="D65" s="78"/>
      <c r="E65" s="29"/>
      <c r="F65" s="172" t="s">
        <v>765</v>
      </c>
      <c r="G65" s="28" t="s">
        <v>766</v>
      </c>
      <c r="H65" s="320" t="str">
        <f t="shared" si="1"/>
        <v>〇</v>
      </c>
      <c r="I65" s="81"/>
      <c r="J65" s="82"/>
    </row>
    <row r="66" spans="2:10" ht="34">
      <c r="B66" s="358" t="s">
        <v>404</v>
      </c>
      <c r="C66" s="358"/>
      <c r="D66" s="78"/>
      <c r="E66" s="30"/>
      <c r="F66" s="172" t="s">
        <v>767</v>
      </c>
      <c r="G66" s="28" t="s">
        <v>768</v>
      </c>
      <c r="H66" s="320" t="str">
        <f t="shared" si="1"/>
        <v>〇</v>
      </c>
      <c r="I66" s="81"/>
      <c r="J66" s="82"/>
    </row>
    <row r="67" spans="2:10" ht="34">
      <c r="B67" s="358" t="s">
        <v>407</v>
      </c>
      <c r="C67" s="358"/>
      <c r="D67" s="29"/>
      <c r="E67" s="30" t="s">
        <v>337</v>
      </c>
      <c r="F67" s="28" t="s">
        <v>769</v>
      </c>
      <c r="G67" s="28"/>
      <c r="H67" s="320" t="str">
        <f t="shared" si="1"/>
        <v>〇</v>
      </c>
      <c r="I67" s="81"/>
      <c r="J67" s="82"/>
    </row>
    <row r="68" spans="2:10" ht="34">
      <c r="B68" s="358" t="s">
        <v>408</v>
      </c>
      <c r="C68" s="358"/>
      <c r="D68" s="29"/>
      <c r="E68" s="27" t="s">
        <v>730</v>
      </c>
      <c r="F68" s="28" t="s">
        <v>770</v>
      </c>
      <c r="G68" s="28" t="s">
        <v>771</v>
      </c>
      <c r="H68" s="320" t="str">
        <f t="shared" si="1"/>
        <v>〇</v>
      </c>
      <c r="I68" s="81"/>
      <c r="J68" s="82"/>
    </row>
    <row r="69" spans="2:10" ht="68">
      <c r="B69" s="358" t="s">
        <v>410</v>
      </c>
      <c r="C69" s="358"/>
      <c r="D69" s="29"/>
      <c r="E69" s="29"/>
      <c r="F69" s="28" t="s">
        <v>772</v>
      </c>
      <c r="G69" s="28"/>
      <c r="H69" s="320" t="str">
        <f t="shared" si="1"/>
        <v>〇</v>
      </c>
      <c r="I69" s="81"/>
      <c r="J69" s="82"/>
    </row>
    <row r="70" spans="2:10" ht="57" customHeight="1">
      <c r="B70" s="358" t="s">
        <v>412</v>
      </c>
      <c r="C70" s="358"/>
      <c r="D70" s="29"/>
      <c r="E70" s="29"/>
      <c r="F70" s="28" t="s">
        <v>773</v>
      </c>
      <c r="G70" s="28"/>
      <c r="H70" s="320" t="str">
        <f t="shared" si="1"/>
        <v>〇</v>
      </c>
      <c r="I70" s="81"/>
      <c r="J70" s="82"/>
    </row>
    <row r="71" spans="2:10" ht="68">
      <c r="B71" s="358" t="s">
        <v>415</v>
      </c>
      <c r="C71" s="358"/>
      <c r="D71" s="29"/>
      <c r="E71" s="29"/>
      <c r="F71" s="28" t="s">
        <v>1551</v>
      </c>
      <c r="G71" s="28"/>
      <c r="H71" s="320" t="str">
        <f t="shared" si="1"/>
        <v>〇</v>
      </c>
      <c r="I71" s="81"/>
      <c r="J71" s="82"/>
    </row>
    <row r="72" spans="2:10" ht="34">
      <c r="B72" s="358" t="s">
        <v>418</v>
      </c>
      <c r="C72" s="358"/>
      <c r="D72" s="29"/>
      <c r="E72" s="28" t="s">
        <v>776</v>
      </c>
      <c r="F72" s="28" t="s">
        <v>777</v>
      </c>
      <c r="G72" s="28"/>
      <c r="H72" s="320" t="str">
        <f t="shared" si="1"/>
        <v>〇</v>
      </c>
      <c r="I72" s="81"/>
      <c r="J72" s="82"/>
    </row>
    <row r="73" spans="2:10" ht="51">
      <c r="B73" s="358" t="s">
        <v>420</v>
      </c>
      <c r="C73" s="358"/>
      <c r="D73" s="29"/>
      <c r="E73" s="27" t="s">
        <v>778</v>
      </c>
      <c r="F73" s="28" t="s">
        <v>779</v>
      </c>
      <c r="G73" s="28"/>
      <c r="H73" s="320" t="str">
        <f t="shared" si="1"/>
        <v>〇</v>
      </c>
      <c r="I73" s="81"/>
      <c r="J73" s="82"/>
    </row>
    <row r="74" spans="2:10" ht="34">
      <c r="B74" s="358" t="s">
        <v>421</v>
      </c>
      <c r="C74" s="358"/>
      <c r="D74" s="29"/>
      <c r="E74" s="30"/>
      <c r="F74" s="28" t="s">
        <v>780</v>
      </c>
      <c r="G74" s="28"/>
      <c r="H74" s="320" t="str">
        <f t="shared" si="1"/>
        <v>〇</v>
      </c>
      <c r="I74" s="81"/>
      <c r="J74" s="82"/>
    </row>
    <row r="75" spans="2:10" ht="34">
      <c r="B75" s="358" t="s">
        <v>424</v>
      </c>
      <c r="C75" s="358"/>
      <c r="D75" s="29"/>
      <c r="E75" s="28" t="s">
        <v>781</v>
      </c>
      <c r="F75" s="28" t="s">
        <v>782</v>
      </c>
      <c r="G75" s="28"/>
      <c r="H75" s="320" t="str">
        <f t="shared" si="1"/>
        <v>〇</v>
      </c>
      <c r="I75" s="81"/>
      <c r="J75" s="82"/>
    </row>
    <row r="76" spans="2:10" ht="34">
      <c r="B76" s="358" t="s">
        <v>427</v>
      </c>
      <c r="C76" s="358"/>
      <c r="D76" s="30"/>
      <c r="E76" s="28" t="s">
        <v>747</v>
      </c>
      <c r="F76" s="28" t="s">
        <v>783</v>
      </c>
      <c r="G76" s="28"/>
      <c r="H76" s="320" t="str">
        <f t="shared" si="1"/>
        <v>〇</v>
      </c>
      <c r="I76" s="81"/>
      <c r="J76" s="82"/>
    </row>
    <row r="77" spans="2:10" ht="34">
      <c r="B77" s="358" t="s">
        <v>429</v>
      </c>
      <c r="C77" s="358"/>
      <c r="D77" s="27" t="s">
        <v>784</v>
      </c>
      <c r="E77" s="28" t="s">
        <v>355</v>
      </c>
      <c r="F77" s="28" t="s">
        <v>785</v>
      </c>
      <c r="G77" s="28"/>
      <c r="H77" s="320" t="str">
        <f t="shared" ref="H77:H88" si="2">IF($O$15=FALSE,"-","〇")</f>
        <v>〇</v>
      </c>
      <c r="I77" s="81"/>
      <c r="J77" s="82"/>
    </row>
    <row r="78" spans="2:10" ht="51">
      <c r="B78" s="358" t="s">
        <v>432</v>
      </c>
      <c r="C78" s="358"/>
      <c r="D78" s="29"/>
      <c r="E78" s="28" t="s">
        <v>787</v>
      </c>
      <c r="F78" s="28" t="s">
        <v>788</v>
      </c>
      <c r="G78" s="28"/>
      <c r="H78" s="320" t="str">
        <f t="shared" si="2"/>
        <v>〇</v>
      </c>
      <c r="I78" s="81"/>
      <c r="J78" s="82"/>
    </row>
    <row r="79" spans="2:10" ht="34">
      <c r="B79" s="358" t="s">
        <v>436</v>
      </c>
      <c r="C79" s="358"/>
      <c r="D79" s="29"/>
      <c r="E79" s="28" t="s">
        <v>789</v>
      </c>
      <c r="F79" s="28" t="s">
        <v>790</v>
      </c>
      <c r="G79" s="28"/>
      <c r="H79" s="320" t="str">
        <f t="shared" si="2"/>
        <v>〇</v>
      </c>
      <c r="I79" s="81"/>
      <c r="J79" s="82"/>
    </row>
    <row r="80" spans="2:10" ht="34">
      <c r="B80" s="358" t="s">
        <v>440</v>
      </c>
      <c r="C80" s="358"/>
      <c r="D80" s="29"/>
      <c r="E80" s="28" t="s">
        <v>791</v>
      </c>
      <c r="F80" s="28" t="s">
        <v>792</v>
      </c>
      <c r="G80" s="28"/>
      <c r="H80" s="320" t="str">
        <f t="shared" si="2"/>
        <v>〇</v>
      </c>
      <c r="I80" s="81"/>
      <c r="J80" s="82"/>
    </row>
    <row r="81" spans="2:10" ht="34">
      <c r="B81" s="358" t="s">
        <v>443</v>
      </c>
      <c r="C81" s="358"/>
      <c r="D81" s="29"/>
      <c r="E81" s="28" t="s">
        <v>793</v>
      </c>
      <c r="F81" s="28" t="s">
        <v>794</v>
      </c>
      <c r="G81" s="28"/>
      <c r="H81" s="320" t="str">
        <f t="shared" si="2"/>
        <v>〇</v>
      </c>
      <c r="I81" s="81"/>
      <c r="J81" s="82"/>
    </row>
    <row r="82" spans="2:10" ht="34">
      <c r="B82" s="358" t="s">
        <v>444</v>
      </c>
      <c r="C82" s="358"/>
      <c r="D82" s="29"/>
      <c r="E82" s="28" t="s">
        <v>795</v>
      </c>
      <c r="F82" s="28" t="s">
        <v>796</v>
      </c>
      <c r="G82" s="28"/>
      <c r="H82" s="320" t="str">
        <f t="shared" si="2"/>
        <v>〇</v>
      </c>
      <c r="I82" s="81"/>
      <c r="J82" s="28"/>
    </row>
    <row r="83" spans="2:10" ht="102">
      <c r="B83" s="358" t="s">
        <v>447</v>
      </c>
      <c r="C83" s="358"/>
      <c r="D83" s="29"/>
      <c r="E83" s="28" t="s">
        <v>428</v>
      </c>
      <c r="F83" s="28" t="s">
        <v>797</v>
      </c>
      <c r="G83" s="28"/>
      <c r="H83" s="320" t="str">
        <f t="shared" si="2"/>
        <v>〇</v>
      </c>
      <c r="I83" s="81"/>
      <c r="J83" s="82"/>
    </row>
    <row r="84" spans="2:10" ht="34">
      <c r="B84" s="358" t="s">
        <v>452</v>
      </c>
      <c r="C84" s="358"/>
      <c r="D84" s="29"/>
      <c r="E84" s="27" t="s">
        <v>798</v>
      </c>
      <c r="F84" s="28" t="s">
        <v>799</v>
      </c>
      <c r="G84" s="28"/>
      <c r="H84" s="320" t="str">
        <f t="shared" si="2"/>
        <v>〇</v>
      </c>
      <c r="I84" s="81"/>
      <c r="J84" s="82"/>
    </row>
    <row r="85" spans="2:10" ht="51">
      <c r="B85" s="358" t="s">
        <v>455</v>
      </c>
      <c r="C85" s="358"/>
      <c r="D85" s="29"/>
      <c r="E85" s="30"/>
      <c r="F85" s="28" t="s">
        <v>800</v>
      </c>
      <c r="G85" s="28"/>
      <c r="H85" s="320" t="str">
        <f t="shared" si="2"/>
        <v>〇</v>
      </c>
      <c r="I85" s="81"/>
      <c r="J85" s="82"/>
    </row>
    <row r="86" spans="2:10" ht="34">
      <c r="B86" s="358" t="s">
        <v>458</v>
      </c>
      <c r="C86" s="358"/>
      <c r="D86" s="29"/>
      <c r="E86" s="28" t="s">
        <v>801</v>
      </c>
      <c r="F86" s="28" t="s">
        <v>802</v>
      </c>
      <c r="G86" s="28"/>
      <c r="H86" s="320" t="str">
        <f t="shared" si="2"/>
        <v>〇</v>
      </c>
      <c r="I86" s="81"/>
      <c r="J86" s="82"/>
    </row>
    <row r="87" spans="2:10" ht="39.75" customHeight="1">
      <c r="B87" s="358" t="s">
        <v>244</v>
      </c>
      <c r="C87" s="358"/>
      <c r="D87" s="29"/>
      <c r="E87" s="28" t="s">
        <v>804</v>
      </c>
      <c r="F87" s="28" t="s">
        <v>805</v>
      </c>
      <c r="G87" s="28"/>
      <c r="H87" s="320" t="str">
        <f t="shared" si="2"/>
        <v>〇</v>
      </c>
      <c r="I87" s="81"/>
      <c r="J87" s="82"/>
    </row>
    <row r="88" spans="2:10" ht="34">
      <c r="B88" s="358" t="s">
        <v>465</v>
      </c>
      <c r="C88" s="358"/>
      <c r="D88" s="30"/>
      <c r="E88" s="28" t="s">
        <v>807</v>
      </c>
      <c r="F88" s="28" t="s">
        <v>808</v>
      </c>
      <c r="G88" s="28"/>
      <c r="H88" s="320" t="str">
        <f t="shared" si="2"/>
        <v>〇</v>
      </c>
      <c r="I88" s="81"/>
      <c r="J88" s="82"/>
    </row>
    <row r="89" spans="2:10" ht="33" customHeight="1">
      <c r="B89" s="358" t="s">
        <v>469</v>
      </c>
      <c r="C89" s="358"/>
      <c r="D89" s="27" t="s">
        <v>810</v>
      </c>
      <c r="E89" s="28" t="s">
        <v>811</v>
      </c>
      <c r="F89" s="28" t="s">
        <v>812</v>
      </c>
      <c r="G89" s="28"/>
      <c r="H89" s="320" t="str">
        <f t="shared" ref="H89:H94" si="3">IF($O$16=FALSE,"-","〇")</f>
        <v>〇</v>
      </c>
      <c r="I89" s="81"/>
      <c r="J89" s="82"/>
    </row>
    <row r="90" spans="2:10" ht="34">
      <c r="B90" s="358" t="s">
        <v>472</v>
      </c>
      <c r="C90" s="358"/>
      <c r="D90" s="29"/>
      <c r="E90" s="28" t="s">
        <v>337</v>
      </c>
      <c r="F90" s="28" t="s">
        <v>814</v>
      </c>
      <c r="G90" s="28"/>
      <c r="H90" s="320" t="str">
        <f t="shared" si="3"/>
        <v>〇</v>
      </c>
      <c r="I90" s="81"/>
      <c r="J90" s="82"/>
    </row>
    <row r="91" spans="2:10" ht="27.75" customHeight="1">
      <c r="B91" s="358" t="s">
        <v>476</v>
      </c>
      <c r="C91" s="358"/>
      <c r="D91" s="29"/>
      <c r="E91" s="27" t="s">
        <v>816</v>
      </c>
      <c r="F91" s="28" t="s">
        <v>817</v>
      </c>
      <c r="G91" s="28"/>
      <c r="H91" s="320" t="str">
        <f t="shared" si="3"/>
        <v>〇</v>
      </c>
      <c r="I91" s="81"/>
      <c r="J91" s="82"/>
    </row>
    <row r="92" spans="2:10" ht="34">
      <c r="B92" s="358" t="s">
        <v>478</v>
      </c>
      <c r="C92" s="358"/>
      <c r="D92" s="29"/>
      <c r="E92" s="27" t="s">
        <v>781</v>
      </c>
      <c r="F92" s="28" t="s">
        <v>774</v>
      </c>
      <c r="G92" s="28"/>
      <c r="H92" s="320" t="str">
        <f t="shared" si="3"/>
        <v>〇</v>
      </c>
      <c r="I92" s="81"/>
      <c r="J92" s="82"/>
    </row>
    <row r="93" spans="2:10" ht="34">
      <c r="B93" s="358" t="s">
        <v>482</v>
      </c>
      <c r="C93" s="358"/>
      <c r="D93" s="29"/>
      <c r="E93" s="29"/>
      <c r="F93" s="28" t="s">
        <v>775</v>
      </c>
      <c r="G93" s="28"/>
      <c r="H93" s="320" t="str">
        <f t="shared" si="3"/>
        <v>〇</v>
      </c>
      <c r="I93" s="81"/>
      <c r="J93" s="82"/>
    </row>
    <row r="94" spans="2:10" ht="34">
      <c r="B94" s="358" t="s">
        <v>485</v>
      </c>
      <c r="C94" s="358"/>
      <c r="D94" s="30"/>
      <c r="E94" s="30"/>
      <c r="F94" s="28" t="s">
        <v>733</v>
      </c>
      <c r="G94" s="28"/>
      <c r="H94" s="320" t="str">
        <f t="shared" si="3"/>
        <v>〇</v>
      </c>
      <c r="I94" s="81"/>
      <c r="J94" s="82"/>
    </row>
    <row r="95" spans="2:10" ht="51">
      <c r="B95" s="358" t="s">
        <v>490</v>
      </c>
      <c r="C95" s="358"/>
      <c r="D95" s="27" t="s">
        <v>822</v>
      </c>
      <c r="E95" s="28" t="s">
        <v>823</v>
      </c>
      <c r="F95" s="28" t="s">
        <v>824</v>
      </c>
      <c r="G95" s="28"/>
      <c r="H95" s="320" t="s">
        <v>309</v>
      </c>
      <c r="I95" s="81"/>
      <c r="J95" s="82"/>
    </row>
    <row r="96" spans="2:10" ht="34">
      <c r="B96" s="358" t="s">
        <v>494</v>
      </c>
      <c r="C96" s="358"/>
      <c r="D96" s="29"/>
      <c r="E96" s="28" t="s">
        <v>441</v>
      </c>
      <c r="F96" s="28" t="s">
        <v>826</v>
      </c>
      <c r="G96" s="28"/>
      <c r="H96" s="320" t="s">
        <v>309</v>
      </c>
      <c r="I96" s="81"/>
      <c r="J96" s="82"/>
    </row>
    <row r="97" spans="2:10" ht="34">
      <c r="B97" s="358" t="s">
        <v>498</v>
      </c>
      <c r="C97" s="358"/>
      <c r="D97" s="29"/>
      <c r="E97" s="28" t="s">
        <v>322</v>
      </c>
      <c r="F97" s="28" t="s">
        <v>828</v>
      </c>
      <c r="G97" s="28"/>
      <c r="H97" s="320" t="s">
        <v>309</v>
      </c>
      <c r="I97" s="81"/>
      <c r="J97" s="82"/>
    </row>
    <row r="98" spans="2:10" ht="34">
      <c r="B98" s="358" t="s">
        <v>501</v>
      </c>
      <c r="C98" s="358"/>
      <c r="D98" s="29"/>
      <c r="E98" s="28" t="s">
        <v>830</v>
      </c>
      <c r="F98" s="28" t="s">
        <v>831</v>
      </c>
      <c r="G98" s="28"/>
      <c r="H98" s="320" t="s">
        <v>309</v>
      </c>
      <c r="I98" s="81"/>
      <c r="J98" s="82"/>
    </row>
    <row r="99" spans="2:10" ht="34">
      <c r="B99" s="358" t="s">
        <v>502</v>
      </c>
      <c r="C99" s="358"/>
      <c r="D99" s="30"/>
      <c r="E99" s="28" t="s">
        <v>833</v>
      </c>
      <c r="F99" s="28" t="s">
        <v>834</v>
      </c>
      <c r="G99" s="28"/>
      <c r="H99" s="320" t="s">
        <v>309</v>
      </c>
      <c r="I99" s="81"/>
      <c r="J99" s="82"/>
    </row>
    <row r="100" spans="2:10" ht="34">
      <c r="B100" s="358" t="s">
        <v>505</v>
      </c>
      <c r="C100" s="358"/>
      <c r="D100" s="27" t="s">
        <v>448</v>
      </c>
      <c r="E100" s="28" t="s">
        <v>574</v>
      </c>
      <c r="F100" s="28" t="s">
        <v>836</v>
      </c>
      <c r="G100" s="28"/>
      <c r="H100" s="320" t="str">
        <f>IF($O$17=FALSE,"-","〇")</f>
        <v>〇</v>
      </c>
      <c r="I100" s="81"/>
      <c r="J100" s="82"/>
    </row>
    <row r="101" spans="2:10" ht="18">
      <c r="B101" s="358" t="s">
        <v>509</v>
      </c>
      <c r="C101" s="358"/>
      <c r="D101" s="29"/>
      <c r="E101" s="28" t="s">
        <v>816</v>
      </c>
      <c r="F101" s="28" t="s">
        <v>837</v>
      </c>
      <c r="G101" s="28"/>
      <c r="H101" s="320" t="str">
        <f>IF($O$17=FALSE,"-","〇")</f>
        <v>〇</v>
      </c>
      <c r="I101" s="81"/>
      <c r="J101" s="82"/>
    </row>
    <row r="102" spans="2:10" ht="34">
      <c r="B102" s="358" t="s">
        <v>512</v>
      </c>
      <c r="C102" s="358"/>
      <c r="D102" s="29"/>
      <c r="E102" s="28" t="s">
        <v>459</v>
      </c>
      <c r="F102" s="28" t="s">
        <v>838</v>
      </c>
      <c r="G102" s="28"/>
      <c r="H102" s="320" t="str">
        <f>IF($O$17=FALSE,"-","〇")</f>
        <v>〇</v>
      </c>
      <c r="I102" s="81"/>
      <c r="J102" s="82"/>
    </row>
    <row r="103" spans="2:10" ht="34">
      <c r="B103" s="358" t="s">
        <v>803</v>
      </c>
      <c r="C103" s="358"/>
      <c r="D103" s="28" t="s">
        <v>666</v>
      </c>
      <c r="E103" s="28" t="s">
        <v>839</v>
      </c>
      <c r="F103" s="28" t="s">
        <v>1587</v>
      </c>
      <c r="G103" s="28"/>
      <c r="H103" s="320" t="s">
        <v>309</v>
      </c>
      <c r="I103" s="81"/>
      <c r="J103" s="82" t="s">
        <v>840</v>
      </c>
    </row>
    <row r="104" spans="2:10" ht="51">
      <c r="B104" s="358" t="s">
        <v>806</v>
      </c>
      <c r="C104" s="358"/>
      <c r="D104" s="347" t="s">
        <v>841</v>
      </c>
      <c r="E104" s="27" t="s">
        <v>842</v>
      </c>
      <c r="F104" s="28" t="s">
        <v>843</v>
      </c>
      <c r="G104" s="28" t="s">
        <v>844</v>
      </c>
      <c r="H104" s="320" t="s">
        <v>309</v>
      </c>
      <c r="I104" s="81"/>
      <c r="J104" s="82"/>
    </row>
    <row r="105" spans="2:10" ht="34">
      <c r="B105" s="358" t="s">
        <v>809</v>
      </c>
      <c r="C105" s="358"/>
      <c r="D105" s="362"/>
      <c r="E105" s="28" t="s">
        <v>496</v>
      </c>
      <c r="F105" s="28" t="s">
        <v>845</v>
      </c>
      <c r="G105" s="28"/>
      <c r="H105" s="320" t="s">
        <v>309</v>
      </c>
      <c r="I105" s="81"/>
      <c r="J105" s="82"/>
    </row>
    <row r="106" spans="2:10" ht="18">
      <c r="B106" s="358" t="s">
        <v>813</v>
      </c>
      <c r="C106" s="358"/>
      <c r="D106" s="359" t="s">
        <v>781</v>
      </c>
      <c r="E106" s="28" t="s">
        <v>503</v>
      </c>
      <c r="F106" s="28" t="s">
        <v>846</v>
      </c>
      <c r="G106" s="28"/>
      <c r="H106" s="320" t="s">
        <v>309</v>
      </c>
      <c r="I106" s="81"/>
      <c r="J106" s="82"/>
    </row>
    <row r="107" spans="2:10" ht="51">
      <c r="B107" s="358" t="s">
        <v>815</v>
      </c>
      <c r="C107" s="358"/>
      <c r="D107" s="363"/>
      <c r="E107" s="28" t="s">
        <v>506</v>
      </c>
      <c r="F107" s="28" t="s">
        <v>847</v>
      </c>
      <c r="G107" s="28" t="s">
        <v>508</v>
      </c>
      <c r="H107" s="320" t="s">
        <v>309</v>
      </c>
      <c r="I107" s="81"/>
      <c r="J107" s="82"/>
    </row>
    <row r="108" spans="2:10" ht="85">
      <c r="B108" s="358" t="s">
        <v>818</v>
      </c>
      <c r="C108" s="358"/>
      <c r="D108" s="117"/>
      <c r="E108" s="28" t="s">
        <v>466</v>
      </c>
      <c r="F108" s="28" t="s">
        <v>467</v>
      </c>
      <c r="G108" s="28" t="s">
        <v>468</v>
      </c>
      <c r="H108" s="320" t="s">
        <v>309</v>
      </c>
      <c r="I108" s="81"/>
      <c r="J108" s="82"/>
    </row>
    <row r="109" spans="2:10" ht="34">
      <c r="B109" s="358" t="s">
        <v>819</v>
      </c>
      <c r="C109" s="358"/>
      <c r="D109" s="27" t="s">
        <v>848</v>
      </c>
      <c r="E109" s="28" t="s">
        <v>849</v>
      </c>
      <c r="F109" s="28" t="s">
        <v>850</v>
      </c>
      <c r="G109" s="28"/>
      <c r="H109" s="320" t="s">
        <v>309</v>
      </c>
      <c r="I109" s="81"/>
      <c r="J109" s="82"/>
    </row>
    <row r="110" spans="2:10" ht="51">
      <c r="B110" s="358" t="s">
        <v>820</v>
      </c>
      <c r="C110" s="358"/>
      <c r="D110" s="29"/>
      <c r="E110" s="28" t="s">
        <v>851</v>
      </c>
      <c r="F110" s="28" t="s">
        <v>852</v>
      </c>
      <c r="G110" s="28"/>
      <c r="H110" s="320" t="s">
        <v>309</v>
      </c>
      <c r="I110" s="81"/>
      <c r="J110" s="82"/>
    </row>
    <row r="111" spans="2:10" ht="102">
      <c r="B111" s="358" t="s">
        <v>821</v>
      </c>
      <c r="C111" s="358"/>
      <c r="D111" s="30"/>
      <c r="E111" s="28" t="s">
        <v>853</v>
      </c>
      <c r="F111" s="28" t="s">
        <v>1588</v>
      </c>
      <c r="G111" s="28"/>
      <c r="H111" s="320" t="s">
        <v>309</v>
      </c>
      <c r="I111" s="81"/>
      <c r="J111" s="82" t="s">
        <v>854</v>
      </c>
    </row>
    <row r="112" spans="2:10" ht="85">
      <c r="B112" s="358" t="s">
        <v>825</v>
      </c>
      <c r="C112" s="358"/>
      <c r="D112" s="27" t="s">
        <v>855</v>
      </c>
      <c r="E112" s="28" t="s">
        <v>856</v>
      </c>
      <c r="F112" s="28" t="s">
        <v>857</v>
      </c>
      <c r="G112" s="28"/>
      <c r="H112" s="320" t="s">
        <v>309</v>
      </c>
      <c r="I112" s="81"/>
      <c r="J112" s="82"/>
    </row>
    <row r="113" spans="2:10" ht="51">
      <c r="B113" s="358" t="s">
        <v>827</v>
      </c>
      <c r="C113" s="358"/>
      <c r="D113" s="29"/>
      <c r="E113" s="28" t="s">
        <v>858</v>
      </c>
      <c r="F113" s="28" t="s">
        <v>859</v>
      </c>
      <c r="G113" s="28"/>
      <c r="H113" s="320" t="s">
        <v>309</v>
      </c>
      <c r="I113" s="81"/>
      <c r="J113" s="82"/>
    </row>
    <row r="114" spans="2:10" ht="51" customHeight="1">
      <c r="B114" s="358" t="s">
        <v>829</v>
      </c>
      <c r="C114" s="358"/>
      <c r="D114" s="30"/>
      <c r="E114" s="28" t="s">
        <v>860</v>
      </c>
      <c r="F114" s="28" t="s">
        <v>861</v>
      </c>
      <c r="G114" s="28" t="s">
        <v>862</v>
      </c>
      <c r="H114" s="320" t="s">
        <v>309</v>
      </c>
      <c r="I114" s="81"/>
      <c r="J114" s="82"/>
    </row>
    <row r="115" spans="2:10" ht="51" customHeight="1">
      <c r="B115" s="358" t="s">
        <v>832</v>
      </c>
      <c r="C115" s="358"/>
      <c r="D115" s="30"/>
      <c r="E115" s="28" t="s">
        <v>520</v>
      </c>
      <c r="F115" s="28" t="s">
        <v>863</v>
      </c>
      <c r="G115" s="84" t="s">
        <v>522</v>
      </c>
      <c r="H115" s="319" t="s">
        <v>309</v>
      </c>
      <c r="I115" s="81"/>
      <c r="J115" s="82"/>
    </row>
    <row r="116" spans="2:10" ht="34">
      <c r="B116" s="358" t="s">
        <v>835</v>
      </c>
      <c r="C116" s="358"/>
      <c r="D116" s="28" t="s">
        <v>692</v>
      </c>
      <c r="E116" s="28" t="s">
        <v>693</v>
      </c>
      <c r="F116" s="28" t="s">
        <v>694</v>
      </c>
      <c r="G116" s="28"/>
      <c r="H116" s="320"/>
      <c r="I116" s="81"/>
      <c r="J116" s="82"/>
    </row>
  </sheetData>
  <mergeCells count="106">
    <mergeCell ref="B34:C34"/>
    <mergeCell ref="B35:C35"/>
    <mergeCell ref="B31:C31"/>
    <mergeCell ref="B27:C27"/>
    <mergeCell ref="B28:C28"/>
    <mergeCell ref="B29:C29"/>
    <mergeCell ref="B30:C30"/>
    <mergeCell ref="B32:C32"/>
    <mergeCell ref="B33:C33"/>
    <mergeCell ref="B21:C21"/>
    <mergeCell ref="C12:D12"/>
    <mergeCell ref="B22:C22"/>
    <mergeCell ref="B23:C23"/>
    <mergeCell ref="B24:C24"/>
    <mergeCell ref="B26:C26"/>
    <mergeCell ref="B43:C43"/>
    <mergeCell ref="B116:C116"/>
    <mergeCell ref="B2:C2"/>
    <mergeCell ref="B3:C3"/>
    <mergeCell ref="B4:C4"/>
    <mergeCell ref="B5:C5"/>
    <mergeCell ref="B6:C6"/>
    <mergeCell ref="B9:C9"/>
    <mergeCell ref="B10:C10"/>
    <mergeCell ref="B19:C19"/>
    <mergeCell ref="B54:C54"/>
    <mergeCell ref="B36:C36"/>
    <mergeCell ref="B37:C37"/>
    <mergeCell ref="B38:C38"/>
    <mergeCell ref="B39:C39"/>
    <mergeCell ref="B42:C42"/>
    <mergeCell ref="B40:C40"/>
    <mergeCell ref="B41:C41"/>
    <mergeCell ref="B44:C44"/>
    <mergeCell ref="B45:C45"/>
    <mergeCell ref="B62:C62"/>
    <mergeCell ref="B63:C63"/>
    <mergeCell ref="B46:C46"/>
    <mergeCell ref="B47:C47"/>
    <mergeCell ref="B48:C48"/>
    <mergeCell ref="B50:C50"/>
    <mergeCell ref="B49:C49"/>
    <mergeCell ref="B51:C51"/>
    <mergeCell ref="B52:C52"/>
    <mergeCell ref="B53:C53"/>
    <mergeCell ref="B69:C69"/>
    <mergeCell ref="B70:C70"/>
    <mergeCell ref="B71:C71"/>
    <mergeCell ref="B55:C55"/>
    <mergeCell ref="B56:C56"/>
    <mergeCell ref="B57:C57"/>
    <mergeCell ref="B58:C58"/>
    <mergeCell ref="B59:C59"/>
    <mergeCell ref="B60:C60"/>
    <mergeCell ref="B61:C61"/>
    <mergeCell ref="B78:C78"/>
    <mergeCell ref="B79:C79"/>
    <mergeCell ref="B81:C81"/>
    <mergeCell ref="B82:C82"/>
    <mergeCell ref="B64:C64"/>
    <mergeCell ref="B65:C65"/>
    <mergeCell ref="B66:C66"/>
    <mergeCell ref="B67:C67"/>
    <mergeCell ref="B68:C68"/>
    <mergeCell ref="B80:C80"/>
    <mergeCell ref="B92:C92"/>
    <mergeCell ref="B93:C93"/>
    <mergeCell ref="B83:C83"/>
    <mergeCell ref="B84:C84"/>
    <mergeCell ref="B72:C72"/>
    <mergeCell ref="B73:C73"/>
    <mergeCell ref="B74:C74"/>
    <mergeCell ref="B75:C75"/>
    <mergeCell ref="B76:C76"/>
    <mergeCell ref="B77:C77"/>
    <mergeCell ref="B100:C100"/>
    <mergeCell ref="B101:C101"/>
    <mergeCell ref="B102:C102"/>
    <mergeCell ref="B85:C85"/>
    <mergeCell ref="B86:C86"/>
    <mergeCell ref="B87:C87"/>
    <mergeCell ref="B88:C88"/>
    <mergeCell ref="B89:C89"/>
    <mergeCell ref="B90:C90"/>
    <mergeCell ref="B91:C91"/>
    <mergeCell ref="B94:C94"/>
    <mergeCell ref="B95:C95"/>
    <mergeCell ref="B96:C96"/>
    <mergeCell ref="B97:C97"/>
    <mergeCell ref="B98:C98"/>
    <mergeCell ref="B99:C99"/>
    <mergeCell ref="B115:C115"/>
    <mergeCell ref="B114:C114"/>
    <mergeCell ref="B108:C108"/>
    <mergeCell ref="B109:C109"/>
    <mergeCell ref="B110:C110"/>
    <mergeCell ref="B111:C111"/>
    <mergeCell ref="B112:C112"/>
    <mergeCell ref="B113:C113"/>
    <mergeCell ref="B103:C103"/>
    <mergeCell ref="B104:C104"/>
    <mergeCell ref="D104:D105"/>
    <mergeCell ref="B105:C105"/>
    <mergeCell ref="B106:C106"/>
    <mergeCell ref="D106:D107"/>
    <mergeCell ref="B107:C107"/>
  </mergeCells>
  <phoneticPr fontId="61"/>
  <conditionalFormatting sqref="B26:J26 D27:J57 B27:C116">
    <cfRule type="expression" dxfId="4" priority="7">
      <formula>$O$13=FALSE</formula>
    </cfRule>
  </conditionalFormatting>
  <conditionalFormatting sqref="D58:J76">
    <cfRule type="expression" dxfId="3" priority="31">
      <formula>$O$14=FALSE</formula>
    </cfRule>
  </conditionalFormatting>
  <conditionalFormatting sqref="D77:J88">
    <cfRule type="expression" dxfId="2" priority="5">
      <formula>$O$15=FALSE</formula>
    </cfRule>
  </conditionalFormatting>
  <conditionalFormatting sqref="D89:J94">
    <cfRule type="expression" dxfId="1" priority="3">
      <formula>$O$16=FALSE</formula>
    </cfRule>
  </conditionalFormatting>
  <conditionalFormatting sqref="D100:J102">
    <cfRule type="expression" dxfId="0" priority="36">
      <formula>$O$17=FALSE</formula>
    </cfRule>
  </conditionalFormatting>
  <dataValidations count="2">
    <dataValidation type="list" allowBlank="1" showInputMessage="1" showErrorMessage="1" sqref="I26:I115 I21:I24" xr:uid="{E27F5ADC-DA67-E04B-94E7-DA7E26A85266}">
      <formula1>$K$21:$K$23</formula1>
    </dataValidation>
    <dataValidation type="list" allowBlank="1" showInputMessage="1" showErrorMessage="1" sqref="I116" xr:uid="{110CD63E-AA8F-A84C-914F-E243F29655D7}">
      <formula1>$K$16:$K$19</formula1>
    </dataValidation>
  </dataValidations>
  <pageMargins left="0.31496062992125984" right="0.31496062992125984" top="0.55118110236220474" bottom="0.55118110236220474" header="0.31496062992125984" footer="0.31496062992125984"/>
  <pageSetup paperSize="9" scale="35" fitToHeight="0" orientation="portrait"/>
  <headerFooter>
    <oddHeader>&amp;C&amp;A</oddHeader>
    <oddFooter>&amp;C&amp;P/&amp;N</oddFooter>
  </headerFooter>
  <rowBreaks count="1" manualBreakCount="1">
    <brk id="66" max="10" man="1"/>
  </rowBreaks>
  <drawing r:id="rId1"/>
  <legacyDrawing r:id="rId2"/>
  <mc:AlternateContent xmlns:mc="http://schemas.openxmlformats.org/markup-compatibility/2006">
    <mc:Choice Requires="x14">
      <controls>
        <mc:AlternateContent xmlns:mc="http://schemas.openxmlformats.org/markup-compatibility/2006">
          <mc:Choice Requires="x14">
            <control shapeId="13320" r:id="rId3" name="Check Box 8">
              <controlPr defaultSize="0" autoFill="0" autoLine="0" autoPict="0">
                <anchor moveWithCells="1">
                  <from>
                    <xdr:col>1</xdr:col>
                    <xdr:colOff>203200</xdr:colOff>
                    <xdr:row>16</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1" r:id="rId4" name="Check Box 9">
              <controlPr defaultSize="0" autoFill="0" autoLine="0" autoPict="0">
                <anchor moveWithCells="1">
                  <from>
                    <xdr:col>1</xdr:col>
                    <xdr:colOff>203200</xdr:colOff>
                    <xdr:row>12</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2" r:id="rId5" name="Check Box 10">
              <controlPr defaultSize="0" autoFill="0" autoLine="0" autoPict="0">
                <anchor moveWithCells="1">
                  <from>
                    <xdr:col>1</xdr:col>
                    <xdr:colOff>203200</xdr:colOff>
                    <xdr:row>13</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3" r:id="rId6" name="Check Box 11">
              <controlPr defaultSize="0" autoFill="0" autoLine="0" autoPict="0">
                <anchor moveWithCells="1">
                  <from>
                    <xdr:col>1</xdr:col>
                    <xdr:colOff>203200</xdr:colOff>
                    <xdr:row>14</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4" r:id="rId7" name="Check Box 12">
              <controlPr defaultSize="0" autoFill="0" autoLine="0" autoPict="0">
                <anchor moveWithCells="1">
                  <from>
                    <xdr:col>1</xdr:col>
                    <xdr:colOff>203200</xdr:colOff>
                    <xdr:row>12</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5" r:id="rId8" name="Check Box 13">
              <controlPr defaultSize="0" autoFill="0" autoLine="0" autoPict="0">
                <anchor moveWithCells="1">
                  <from>
                    <xdr:col>1</xdr:col>
                    <xdr:colOff>203200</xdr:colOff>
                    <xdr:row>13</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6" r:id="rId9" name="Check Box 14">
              <controlPr defaultSize="0" autoFill="0" autoLine="0" autoPict="0">
                <anchor moveWithCells="1">
                  <from>
                    <xdr:col>1</xdr:col>
                    <xdr:colOff>203200</xdr:colOff>
                    <xdr:row>14</xdr:row>
                    <xdr:rowOff>0</xdr:rowOff>
                  </from>
                  <to>
                    <xdr:col>3</xdr:col>
                    <xdr:colOff>0</xdr:colOff>
                    <xdr:row>18</xdr:row>
                    <xdr:rowOff>63500</xdr:rowOff>
                  </to>
                </anchor>
              </controlPr>
            </control>
          </mc:Choice>
        </mc:AlternateContent>
        <mc:AlternateContent xmlns:mc="http://schemas.openxmlformats.org/markup-compatibility/2006">
          <mc:Choice Requires="x14">
            <control shapeId="13327" r:id="rId10" name="Check Box 15">
              <controlPr defaultSize="0" autoFill="0" autoLine="0" autoPict="0">
                <anchor moveWithCells="1">
                  <from>
                    <xdr:col>2</xdr:col>
                    <xdr:colOff>0</xdr:colOff>
                    <xdr:row>15</xdr:row>
                    <xdr:rowOff>0</xdr:rowOff>
                  </from>
                  <to>
                    <xdr:col>3</xdr:col>
                    <xdr:colOff>0</xdr:colOff>
                    <xdr:row>18</xdr:row>
                    <xdr:rowOff>63500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5618-6B02-6F42-BCBD-B2DACD64750F}">
  <sheetPr>
    <pageSetUpPr fitToPage="1"/>
  </sheetPr>
  <dimension ref="B1:K12"/>
  <sheetViews>
    <sheetView showGridLines="0" view="pageBreakPreview" zoomScale="85" zoomScaleNormal="70" zoomScaleSheetLayoutView="85" workbookViewId="0">
      <pane xSplit="1" ySplit="8" topLeftCell="B9" activePane="bottomRight" state="frozen"/>
      <selection pane="topRight" activeCell="B6" sqref="B6:C6"/>
      <selection pane="bottomLeft" activeCell="B6" sqref="B6:C6"/>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customWidth="1"/>
    <col min="7" max="7" width="50.6640625" style="87" customWidth="1"/>
    <col min="8" max="8" width="5.6640625" style="88" customWidth="1"/>
    <col min="9" max="9" width="50.6640625" style="87" customWidth="1"/>
    <col min="10" max="16384" width="3.6640625" style="87"/>
  </cols>
  <sheetData>
    <row r="1" spans="2:11" ht="4.5" customHeight="1"/>
    <row r="2" spans="2:11" ht="68">
      <c r="B2" s="350"/>
      <c r="C2" s="351"/>
      <c r="D2" s="89"/>
      <c r="E2" s="89" t="s">
        <v>523</v>
      </c>
      <c r="F2" s="304" t="s">
        <v>1589</v>
      </c>
      <c r="G2" s="90" t="s">
        <v>525</v>
      </c>
      <c r="H2" s="91"/>
      <c r="I2" s="92"/>
    </row>
    <row r="3" spans="2:11" ht="25" customHeight="1">
      <c r="B3" s="352" t="s">
        <v>526</v>
      </c>
      <c r="C3" s="353"/>
      <c r="D3" s="93" t="s">
        <v>527</v>
      </c>
      <c r="E3" s="94"/>
      <c r="F3" s="94"/>
      <c r="G3" s="95"/>
      <c r="H3" s="91"/>
      <c r="I3" s="92"/>
    </row>
    <row r="4" spans="2:11" ht="25" customHeight="1">
      <c r="B4" s="354"/>
      <c r="C4" s="355"/>
      <c r="D4" s="94" t="s">
        <v>528</v>
      </c>
      <c r="E4" s="94"/>
      <c r="F4" s="94"/>
      <c r="G4" s="95"/>
      <c r="H4" s="91"/>
      <c r="I4" s="92"/>
    </row>
    <row r="5" spans="2:11" ht="25" customHeight="1">
      <c r="B5" s="352" t="s">
        <v>529</v>
      </c>
      <c r="C5" s="353"/>
      <c r="D5" s="94" t="s">
        <v>530</v>
      </c>
      <c r="E5" s="94"/>
      <c r="F5" s="95"/>
      <c r="G5" s="96"/>
      <c r="H5" s="91"/>
      <c r="I5" s="92"/>
    </row>
    <row r="6" spans="2:11" ht="25" customHeight="1">
      <c r="B6" s="354"/>
      <c r="C6" s="355"/>
      <c r="D6" s="94" t="s">
        <v>531</v>
      </c>
      <c r="E6" s="94"/>
      <c r="F6" s="95"/>
      <c r="G6" s="96"/>
      <c r="H6" s="91"/>
      <c r="I6" s="92"/>
    </row>
    <row r="7" spans="2:11" ht="16.5" customHeight="1"/>
    <row r="8" spans="2:11" ht="36" customHeight="1" thickBot="1">
      <c r="B8" s="356" t="s">
        <v>293</v>
      </c>
      <c r="C8" s="357"/>
      <c r="D8" s="332" t="s">
        <v>294</v>
      </c>
      <c r="E8" s="332" t="s">
        <v>295</v>
      </c>
      <c r="F8" s="332" t="s">
        <v>296</v>
      </c>
      <c r="G8" s="332" t="s">
        <v>297</v>
      </c>
      <c r="H8" s="97" t="s">
        <v>299</v>
      </c>
      <c r="I8" s="98" t="s">
        <v>300</v>
      </c>
    </row>
    <row r="9" spans="2:11" ht="69" thickTop="1">
      <c r="B9" s="366" t="s">
        <v>533</v>
      </c>
      <c r="C9" s="366"/>
      <c r="D9" s="177" t="s">
        <v>865</v>
      </c>
      <c r="E9" s="177" t="s">
        <v>866</v>
      </c>
      <c r="F9" s="177" t="s">
        <v>867</v>
      </c>
      <c r="G9" s="28" t="s">
        <v>868</v>
      </c>
      <c r="H9" s="178"/>
      <c r="I9" s="179"/>
    </row>
    <row r="10" spans="2:11">
      <c r="K10" s="87" t="s">
        <v>310</v>
      </c>
    </row>
    <row r="11" spans="2:11">
      <c r="K11" s="87" t="s">
        <v>312</v>
      </c>
    </row>
    <row r="12" spans="2:11">
      <c r="K12" s="87" t="s">
        <v>316</v>
      </c>
    </row>
  </sheetData>
  <mergeCells count="7">
    <mergeCell ref="B9:C9"/>
    <mergeCell ref="B8:C8"/>
    <mergeCell ref="B2:C2"/>
    <mergeCell ref="B3:C3"/>
    <mergeCell ref="B4:C4"/>
    <mergeCell ref="B5:C5"/>
    <mergeCell ref="B6:C6"/>
  </mergeCells>
  <phoneticPr fontId="44"/>
  <dataValidations count="1">
    <dataValidation type="list" allowBlank="1" showInputMessage="1" showErrorMessage="1" sqref="H9" xr:uid="{C5F45AD3-2DCF-A046-B3BF-EBA0A1D29EDE}">
      <formula1>$K$9:$K$12</formula1>
    </dataValidation>
  </dataValidations>
  <pageMargins left="0.31496062992125984" right="0.31496062992125984" top="0.55118110236220474" bottom="0.55118110236220474" header="0.31496062992125984" footer="0.31496062992125984"/>
  <pageSetup paperSize="9" scale="36" fitToHeight="0" orientation="portrait"/>
  <headerFooter>
    <oddHeader>&amp;C&amp;A</oddHead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031B-A71A-7C42-BEB3-9C5932F57D22}">
  <sheetPr>
    <pageSetUpPr fitToPage="1"/>
  </sheetPr>
  <dimension ref="B1:K12"/>
  <sheetViews>
    <sheetView showGridLines="0" view="pageBreakPreview" zoomScale="85" zoomScaleNormal="70" zoomScaleSheetLayoutView="85" workbookViewId="0">
      <pane xSplit="1" ySplit="8" topLeftCell="B9" activePane="bottomRight" state="frozen"/>
      <selection pane="topRight" activeCell="B6" sqref="B6:C6"/>
      <selection pane="bottomLeft" activeCell="B6" sqref="B6:C6"/>
      <selection pane="bottomRight" activeCell="B9" sqref="B9:C9"/>
    </sheetView>
  </sheetViews>
  <sheetFormatPr baseColWidth="10" defaultColWidth="3.6640625" defaultRowHeight="16"/>
  <cols>
    <col min="1" max="1" width="1.5" style="1" customWidth="1"/>
    <col min="2" max="2" width="2.6640625" style="1" customWidth="1"/>
    <col min="3" max="3" width="6.1640625" style="1" customWidth="1"/>
    <col min="4" max="4" width="14.5" style="1" customWidth="1"/>
    <col min="5" max="5" width="19.5" style="1" bestFit="1" customWidth="1"/>
    <col min="6" max="6" width="95.6640625" style="1" bestFit="1" customWidth="1"/>
    <col min="7" max="7" width="50.6640625" style="1" customWidth="1"/>
    <col min="8" max="8" width="5.6640625" style="3" customWidth="1"/>
    <col min="9" max="9" width="50.6640625" style="1" customWidth="1"/>
    <col min="10" max="16384" width="3.6640625" style="1"/>
  </cols>
  <sheetData>
    <row r="1" spans="2:11" ht="4.5" customHeight="1"/>
    <row r="2" spans="2:11" ht="68">
      <c r="B2" s="367"/>
      <c r="C2" s="368"/>
      <c r="D2" s="20"/>
      <c r="E2" s="20" t="s">
        <v>523</v>
      </c>
      <c r="F2" s="85" t="s">
        <v>864</v>
      </c>
      <c r="G2" s="21" t="s">
        <v>525</v>
      </c>
      <c r="H2" s="16"/>
      <c r="I2" s="17"/>
    </row>
    <row r="3" spans="2:11" ht="25" customHeight="1">
      <c r="B3" s="369" t="s">
        <v>526</v>
      </c>
      <c r="C3" s="370"/>
      <c r="D3" s="19" t="s">
        <v>527</v>
      </c>
      <c r="E3" s="18"/>
      <c r="F3" s="18"/>
      <c r="G3" s="22"/>
      <c r="H3" s="16"/>
      <c r="I3" s="17"/>
    </row>
    <row r="4" spans="2:11" ht="25" customHeight="1">
      <c r="B4" s="371"/>
      <c r="C4" s="372"/>
      <c r="D4" s="18" t="s">
        <v>528</v>
      </c>
      <c r="E4" s="18"/>
      <c r="F4" s="18"/>
      <c r="G4" s="22"/>
      <c r="H4" s="16"/>
      <c r="I4" s="17"/>
    </row>
    <row r="5" spans="2:11" ht="25" customHeight="1">
      <c r="B5" s="369" t="s">
        <v>529</v>
      </c>
      <c r="C5" s="370"/>
      <c r="D5" s="18" t="s">
        <v>530</v>
      </c>
      <c r="E5" s="18"/>
      <c r="F5" s="22"/>
      <c r="G5" s="15"/>
      <c r="H5" s="16"/>
      <c r="I5" s="17"/>
    </row>
    <row r="6" spans="2:11" ht="25" customHeight="1">
      <c r="B6" s="371"/>
      <c r="C6" s="372"/>
      <c r="D6" s="18" t="s">
        <v>531</v>
      </c>
      <c r="E6" s="18"/>
      <c r="F6" s="22"/>
      <c r="G6" s="15"/>
      <c r="H6" s="16"/>
      <c r="I6" s="17"/>
    </row>
    <row r="7" spans="2:11" ht="16.5" customHeight="1"/>
    <row r="8" spans="2:11" ht="36" customHeight="1" thickBot="1">
      <c r="B8" s="373" t="s">
        <v>293</v>
      </c>
      <c r="C8" s="374"/>
      <c r="D8" s="71" t="s">
        <v>294</v>
      </c>
      <c r="E8" s="71" t="s">
        <v>295</v>
      </c>
      <c r="F8" s="71" t="s">
        <v>296</v>
      </c>
      <c r="G8" s="71" t="s">
        <v>297</v>
      </c>
      <c r="H8" s="12" t="s">
        <v>299</v>
      </c>
      <c r="I8" s="13" t="s">
        <v>300</v>
      </c>
    </row>
    <row r="9" spans="2:11" s="87" customFormat="1" ht="52" thickTop="1">
      <c r="B9" s="366" t="s">
        <v>533</v>
      </c>
      <c r="C9" s="366"/>
      <c r="D9" s="177" t="s">
        <v>869</v>
      </c>
      <c r="E9" s="177" t="s">
        <v>869</v>
      </c>
      <c r="F9" s="177" t="s">
        <v>870</v>
      </c>
      <c r="G9" s="28" t="s">
        <v>871</v>
      </c>
      <c r="H9" s="178"/>
      <c r="I9" s="179"/>
    </row>
    <row r="10" spans="2:11">
      <c r="K10" s="87" t="s">
        <v>310</v>
      </c>
    </row>
    <row r="11" spans="2:11">
      <c r="K11" s="87" t="s">
        <v>312</v>
      </c>
    </row>
    <row r="12" spans="2:11">
      <c r="K12" s="87" t="s">
        <v>316</v>
      </c>
    </row>
  </sheetData>
  <mergeCells count="7">
    <mergeCell ref="B9:C9"/>
    <mergeCell ref="B2:C2"/>
    <mergeCell ref="B3:C3"/>
    <mergeCell ref="B4:C4"/>
    <mergeCell ref="B5:C5"/>
    <mergeCell ref="B6:C6"/>
    <mergeCell ref="B8:C8"/>
  </mergeCells>
  <phoneticPr fontId="45"/>
  <dataValidations disablePrompts="1" count="1">
    <dataValidation type="list" allowBlank="1" showInputMessage="1" showErrorMessage="1" sqref="H9" xr:uid="{C859D7D0-7DC3-0044-B7DD-A814E75F263D}">
      <formula1>$K$9:$K$12</formula1>
    </dataValidation>
  </dataValidations>
  <pageMargins left="0.31496062992125984" right="0.31496062992125984" top="0.55118110236220474" bottom="0.55118110236220474" header="0.31496062992125984" footer="0.31496062992125984"/>
  <pageSetup paperSize="9" scale="36" fitToHeight="0" orientation="portrait"/>
  <headerFooter>
    <oddHeader>&amp;C&amp;A</oddHead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97A1-A42E-B244-8028-B5B5B8DECBBD}">
  <sheetPr>
    <pageSetUpPr fitToPage="1"/>
  </sheetPr>
  <dimension ref="A1:N236"/>
  <sheetViews>
    <sheetView showGridLines="0" view="pageBreakPreview" topLeftCell="A5" zoomScale="85" zoomScaleNormal="90" zoomScaleSheetLayoutView="85" workbookViewId="0">
      <selection activeCell="A5" sqref="A4:B5"/>
    </sheetView>
  </sheetViews>
  <sheetFormatPr baseColWidth="10" defaultColWidth="9" defaultRowHeight="14"/>
  <cols>
    <col min="1" max="1" width="5" style="184" customWidth="1"/>
    <col min="2" max="2" width="6.1640625" style="186" customWidth="1"/>
    <col min="3" max="3" width="14.33203125" style="184" customWidth="1"/>
    <col min="4" max="4" width="15.83203125" style="336" customWidth="1"/>
    <col min="5" max="5" width="23.1640625" style="184" customWidth="1"/>
    <col min="6" max="6" width="23.6640625" style="184" customWidth="1"/>
    <col min="7" max="7" width="11.1640625" style="184" customWidth="1"/>
    <col min="8" max="8" width="10.5" style="185" bestFit="1" customWidth="1"/>
    <col min="9" max="9" width="15" style="185" customWidth="1"/>
    <col min="10" max="10" width="28.1640625" style="184" customWidth="1"/>
    <col min="11" max="11" width="22.6640625" style="336" customWidth="1"/>
    <col min="12" max="12" width="5.6640625" style="186" customWidth="1"/>
    <col min="13" max="13" width="10.6640625" style="229" customWidth="1"/>
    <col min="14" max="14" width="6.5" style="186" customWidth="1"/>
    <col min="15" max="19" width="9" style="336"/>
    <col min="20" max="20" width="9" style="336" customWidth="1"/>
    <col min="21" max="16384" width="9" style="336"/>
  </cols>
  <sheetData>
    <row r="1" spans="1:14" s="334" customFormat="1" ht="3.75" customHeight="1">
      <c r="A1" s="241"/>
      <c r="B1" s="242"/>
      <c r="C1" s="242"/>
      <c r="E1" s="184"/>
      <c r="F1" s="184"/>
      <c r="G1" s="184"/>
      <c r="H1" s="185"/>
      <c r="I1" s="185"/>
      <c r="J1" s="184"/>
      <c r="L1" s="186"/>
      <c r="M1" s="229"/>
      <c r="N1" s="186"/>
    </row>
    <row r="2" spans="1:14" s="335" customFormat="1" ht="21.75" customHeight="1">
      <c r="A2" s="395" t="s">
        <v>872</v>
      </c>
      <c r="B2" s="396"/>
      <c r="C2" s="397"/>
      <c r="D2" s="398"/>
      <c r="E2" s="243"/>
      <c r="F2" s="243"/>
      <c r="G2" s="243"/>
      <c r="H2" s="244"/>
      <c r="I2" s="244"/>
      <c r="J2" s="243"/>
      <c r="L2" s="245"/>
      <c r="M2" s="246"/>
      <c r="N2" s="245"/>
    </row>
    <row r="3" spans="1:14" s="335" customFormat="1" ht="21.75" customHeight="1">
      <c r="A3" s="395" t="s">
        <v>873</v>
      </c>
      <c r="B3" s="396"/>
      <c r="C3" s="397"/>
      <c r="D3" s="398"/>
      <c r="E3" s="243"/>
      <c r="F3" s="243"/>
      <c r="G3" s="243"/>
      <c r="H3" s="244"/>
      <c r="I3" s="244"/>
      <c r="J3" s="243"/>
      <c r="L3" s="245"/>
      <c r="M3" s="246"/>
      <c r="N3" s="245"/>
    </row>
    <row r="4" spans="1:14" s="87" customFormat="1" ht="63" customHeight="1">
      <c r="A4" s="328"/>
      <c r="B4" s="329"/>
      <c r="C4" s="89"/>
      <c r="D4" s="89" t="s">
        <v>523</v>
      </c>
      <c r="E4" s="415" t="s">
        <v>1590</v>
      </c>
      <c r="F4" s="416"/>
      <c r="G4" s="416"/>
      <c r="H4" s="416"/>
      <c r="I4" s="416"/>
      <c r="J4" s="417"/>
      <c r="K4" s="462" t="s">
        <v>525</v>
      </c>
      <c r="L4" s="463"/>
      <c r="M4" s="463"/>
      <c r="N4" s="464"/>
    </row>
    <row r="5" spans="1:14" s="87" customFormat="1" ht="25" customHeight="1">
      <c r="A5" s="352" t="s">
        <v>526</v>
      </c>
      <c r="B5" s="353"/>
      <c r="C5" s="93" t="s">
        <v>527</v>
      </c>
      <c r="D5" s="94"/>
      <c r="E5" s="418"/>
      <c r="F5" s="419"/>
      <c r="G5" s="419"/>
      <c r="H5" s="419"/>
      <c r="I5" s="419"/>
      <c r="J5" s="420"/>
      <c r="K5" s="397"/>
      <c r="L5" s="465"/>
      <c r="M5" s="465"/>
      <c r="N5" s="398"/>
    </row>
    <row r="6" spans="1:14" s="87" customFormat="1" ht="25" customHeight="1">
      <c r="A6" s="330"/>
      <c r="B6" s="331"/>
      <c r="C6" s="94" t="s">
        <v>528</v>
      </c>
      <c r="D6" s="94"/>
      <c r="E6" s="418"/>
      <c r="F6" s="419"/>
      <c r="G6" s="419"/>
      <c r="H6" s="419"/>
      <c r="I6" s="419"/>
      <c r="J6" s="420"/>
      <c r="K6" s="397"/>
      <c r="L6" s="465"/>
      <c r="M6" s="465"/>
      <c r="N6" s="398"/>
    </row>
    <row r="7" spans="1:14" s="87" customFormat="1" ht="25" customHeight="1">
      <c r="A7" s="352" t="s">
        <v>529</v>
      </c>
      <c r="B7" s="353"/>
      <c r="C7" s="94" t="s">
        <v>530</v>
      </c>
      <c r="D7" s="94"/>
      <c r="E7" s="418"/>
      <c r="F7" s="421"/>
      <c r="G7" s="421"/>
      <c r="H7" s="421"/>
      <c r="I7" s="421"/>
      <c r="J7" s="422"/>
    </row>
    <row r="8" spans="1:14" s="87" customFormat="1" ht="25" customHeight="1">
      <c r="A8" s="330"/>
      <c r="B8" s="331"/>
      <c r="C8" s="94" t="s">
        <v>531</v>
      </c>
      <c r="D8" s="94"/>
      <c r="E8" s="418"/>
      <c r="F8" s="421"/>
      <c r="G8" s="421"/>
      <c r="H8" s="421"/>
      <c r="I8" s="421"/>
      <c r="J8" s="422"/>
    </row>
    <row r="9" spans="1:14" s="335" customFormat="1" ht="21.75" customHeight="1">
      <c r="A9" s="250"/>
      <c r="B9" s="244"/>
      <c r="C9" s="244"/>
      <c r="E9" s="243"/>
      <c r="F9" s="243"/>
      <c r="G9" s="243"/>
      <c r="H9" s="244"/>
      <c r="I9" s="244"/>
      <c r="J9" s="243"/>
      <c r="L9" s="245"/>
      <c r="M9" s="246"/>
      <c r="N9" s="245"/>
    </row>
    <row r="10" spans="1:14" s="219" customFormat="1" ht="13">
      <c r="A10" s="380" t="s">
        <v>874</v>
      </c>
      <c r="B10" s="382" t="s">
        <v>875</v>
      </c>
      <c r="C10" s="384" t="s">
        <v>876</v>
      </c>
      <c r="D10" s="385"/>
      <c r="E10" s="399" t="s">
        <v>877</v>
      </c>
      <c r="F10" s="400"/>
      <c r="G10" s="401"/>
      <c r="H10" s="378" t="s">
        <v>878</v>
      </c>
      <c r="I10" s="378" t="s">
        <v>879</v>
      </c>
      <c r="J10" s="412" t="s">
        <v>880</v>
      </c>
      <c r="K10" s="377"/>
      <c r="L10" s="375" t="s">
        <v>881</v>
      </c>
      <c r="M10" s="376"/>
      <c r="N10" s="377"/>
    </row>
    <row r="11" spans="1:14" s="219" customFormat="1" ht="66.75" customHeight="1">
      <c r="A11" s="381"/>
      <c r="B11" s="383"/>
      <c r="C11" s="386"/>
      <c r="D11" s="387"/>
      <c r="E11" s="402"/>
      <c r="F11" s="403"/>
      <c r="G11" s="404"/>
      <c r="H11" s="379"/>
      <c r="I11" s="379"/>
      <c r="J11" s="413"/>
      <c r="K11" s="414"/>
      <c r="L11" s="252" t="s">
        <v>882</v>
      </c>
      <c r="M11" s="253" t="s">
        <v>278</v>
      </c>
      <c r="N11" s="254" t="s">
        <v>883</v>
      </c>
    </row>
    <row r="12" spans="1:14" s="219" customFormat="1" ht="13.5" customHeight="1">
      <c r="A12" s="223">
        <v>1</v>
      </c>
      <c r="B12" s="405" t="s">
        <v>315</v>
      </c>
      <c r="C12" s="454" t="s">
        <v>884</v>
      </c>
      <c r="D12" s="455"/>
      <c r="E12" s="451" t="s">
        <v>885</v>
      </c>
      <c r="F12" s="452"/>
      <c r="G12" s="453"/>
      <c r="H12" s="188" t="s">
        <v>316</v>
      </c>
      <c r="I12" s="188" t="s">
        <v>316</v>
      </c>
      <c r="J12" s="391"/>
      <c r="K12" s="392"/>
      <c r="L12" s="230"/>
      <c r="M12" s="224"/>
      <c r="N12" s="231"/>
    </row>
    <row r="13" spans="1:14" s="219" customFormat="1" ht="12" customHeight="1">
      <c r="A13" s="187">
        <f>A12+1</f>
        <v>2</v>
      </c>
      <c r="B13" s="405"/>
      <c r="C13" s="440"/>
      <c r="D13" s="442"/>
      <c r="E13" s="388" t="s">
        <v>886</v>
      </c>
      <c r="F13" s="389"/>
      <c r="G13" s="390"/>
      <c r="H13" s="190" t="s">
        <v>316</v>
      </c>
      <c r="I13" s="190" t="s">
        <v>316</v>
      </c>
      <c r="J13" s="388"/>
      <c r="K13" s="393"/>
      <c r="L13" s="232"/>
      <c r="M13" s="225"/>
      <c r="N13" s="233"/>
    </row>
    <row r="14" spans="1:14" s="219" customFormat="1" ht="12" customHeight="1">
      <c r="A14" s="187">
        <f t="shared" ref="A14:A77" si="0">A13+1</f>
        <v>3</v>
      </c>
      <c r="B14" s="405"/>
      <c r="C14" s="440"/>
      <c r="D14" s="442"/>
      <c r="E14" s="388" t="s">
        <v>887</v>
      </c>
      <c r="F14" s="389"/>
      <c r="G14" s="390"/>
      <c r="H14" s="190" t="s">
        <v>316</v>
      </c>
      <c r="I14" s="190" t="s">
        <v>316</v>
      </c>
      <c r="J14" s="388"/>
      <c r="K14" s="393"/>
      <c r="L14" s="232"/>
      <c r="M14" s="225"/>
      <c r="N14" s="233"/>
    </row>
    <row r="15" spans="1:14" s="219" customFormat="1" ht="12" customHeight="1">
      <c r="A15" s="187">
        <f t="shared" si="0"/>
        <v>4</v>
      </c>
      <c r="B15" s="405"/>
      <c r="C15" s="440"/>
      <c r="D15" s="442"/>
      <c r="E15" s="388" t="s">
        <v>888</v>
      </c>
      <c r="F15" s="389"/>
      <c r="G15" s="390"/>
      <c r="H15" s="190" t="s">
        <v>316</v>
      </c>
      <c r="I15" s="190" t="s">
        <v>316</v>
      </c>
      <c r="J15" s="388"/>
      <c r="K15" s="393"/>
      <c r="L15" s="232"/>
      <c r="M15" s="225"/>
      <c r="N15" s="233"/>
    </row>
    <row r="16" spans="1:14" s="219" customFormat="1" ht="12" customHeight="1">
      <c r="A16" s="187">
        <f t="shared" si="0"/>
        <v>5</v>
      </c>
      <c r="B16" s="405"/>
      <c r="C16" s="440"/>
      <c r="D16" s="442"/>
      <c r="E16" s="388" t="s">
        <v>889</v>
      </c>
      <c r="F16" s="389"/>
      <c r="G16" s="390"/>
      <c r="H16" s="190" t="s">
        <v>316</v>
      </c>
      <c r="I16" s="190" t="s">
        <v>316</v>
      </c>
      <c r="J16" s="388"/>
      <c r="K16" s="393"/>
      <c r="L16" s="232"/>
      <c r="M16" s="225"/>
      <c r="N16" s="233"/>
    </row>
    <row r="17" spans="1:14" s="219" customFormat="1" ht="11.25" customHeight="1">
      <c r="A17" s="187">
        <f t="shared" si="0"/>
        <v>6</v>
      </c>
      <c r="B17" s="405"/>
      <c r="C17" s="440" t="s">
        <v>890</v>
      </c>
      <c r="D17" s="442"/>
      <c r="E17" s="388" t="s">
        <v>891</v>
      </c>
      <c r="F17" s="389"/>
      <c r="G17" s="390"/>
      <c r="H17" s="190" t="s">
        <v>316</v>
      </c>
      <c r="I17" s="190" t="s">
        <v>316</v>
      </c>
      <c r="J17" s="388"/>
      <c r="K17" s="393"/>
      <c r="L17" s="232"/>
      <c r="M17" s="225"/>
      <c r="N17" s="233"/>
    </row>
    <row r="18" spans="1:14" s="219" customFormat="1" ht="30" customHeight="1">
      <c r="A18" s="187">
        <f t="shared" si="0"/>
        <v>7</v>
      </c>
      <c r="B18" s="405"/>
      <c r="C18" s="440"/>
      <c r="D18" s="442"/>
      <c r="E18" s="388" t="s">
        <v>892</v>
      </c>
      <c r="F18" s="389"/>
      <c r="G18" s="390"/>
      <c r="H18" s="190" t="s">
        <v>893</v>
      </c>
      <c r="I18" s="190" t="s">
        <v>316</v>
      </c>
      <c r="J18" s="388"/>
      <c r="K18" s="393"/>
      <c r="L18" s="232"/>
      <c r="M18" s="225"/>
      <c r="N18" s="233"/>
    </row>
    <row r="19" spans="1:14" s="219" customFormat="1" ht="38.25" customHeight="1">
      <c r="A19" s="187">
        <f t="shared" si="0"/>
        <v>8</v>
      </c>
      <c r="B19" s="405"/>
      <c r="C19" s="440"/>
      <c r="D19" s="442"/>
      <c r="E19" s="388" t="s">
        <v>894</v>
      </c>
      <c r="F19" s="389"/>
      <c r="G19" s="390"/>
      <c r="H19" s="190" t="s">
        <v>316</v>
      </c>
      <c r="I19" s="190" t="s">
        <v>316</v>
      </c>
      <c r="J19" s="388"/>
      <c r="K19" s="393"/>
      <c r="L19" s="232"/>
      <c r="M19" s="225"/>
      <c r="N19" s="233"/>
    </row>
    <row r="20" spans="1:14" s="219" customFormat="1" ht="33" customHeight="1">
      <c r="A20" s="187">
        <f t="shared" si="0"/>
        <v>9</v>
      </c>
      <c r="B20" s="405"/>
      <c r="C20" s="440"/>
      <c r="D20" s="442"/>
      <c r="E20" s="388" t="s">
        <v>895</v>
      </c>
      <c r="F20" s="389"/>
      <c r="G20" s="390"/>
      <c r="H20" s="190" t="s">
        <v>316</v>
      </c>
      <c r="I20" s="190" t="s">
        <v>316</v>
      </c>
      <c r="J20" s="388"/>
      <c r="K20" s="393"/>
      <c r="L20" s="232"/>
      <c r="M20" s="225"/>
      <c r="N20" s="233"/>
    </row>
    <row r="21" spans="1:14" s="219" customFormat="1" ht="10.5" customHeight="1">
      <c r="A21" s="187">
        <f t="shared" si="0"/>
        <v>10</v>
      </c>
      <c r="B21" s="405"/>
      <c r="C21" s="440" t="s">
        <v>896</v>
      </c>
      <c r="D21" s="442"/>
      <c r="E21" s="388" t="s">
        <v>897</v>
      </c>
      <c r="F21" s="389"/>
      <c r="G21" s="390"/>
      <c r="H21" s="190" t="s">
        <v>316</v>
      </c>
      <c r="I21" s="190" t="s">
        <v>316</v>
      </c>
      <c r="J21" s="388"/>
      <c r="K21" s="393"/>
      <c r="L21" s="232"/>
      <c r="M21" s="225"/>
      <c r="N21" s="233"/>
    </row>
    <row r="22" spans="1:14" s="219" customFormat="1" ht="12" customHeight="1">
      <c r="A22" s="187">
        <f t="shared" si="0"/>
        <v>11</v>
      </c>
      <c r="B22" s="405"/>
      <c r="C22" s="440"/>
      <c r="D22" s="442"/>
      <c r="E22" s="388" t="s">
        <v>898</v>
      </c>
      <c r="F22" s="389"/>
      <c r="G22" s="390"/>
      <c r="H22" s="190" t="s">
        <v>316</v>
      </c>
      <c r="I22" s="190" t="s">
        <v>316</v>
      </c>
      <c r="J22" s="388"/>
      <c r="K22" s="393"/>
      <c r="L22" s="232"/>
      <c r="M22" s="225"/>
      <c r="N22" s="233"/>
    </row>
    <row r="23" spans="1:14" s="219" customFormat="1" ht="12" customHeight="1">
      <c r="A23" s="187">
        <f t="shared" si="0"/>
        <v>12</v>
      </c>
      <c r="B23" s="405"/>
      <c r="C23" s="440"/>
      <c r="D23" s="442"/>
      <c r="E23" s="388" t="s">
        <v>899</v>
      </c>
      <c r="F23" s="389"/>
      <c r="G23" s="390"/>
      <c r="H23" s="190" t="s">
        <v>316</v>
      </c>
      <c r="I23" s="190" t="s">
        <v>316</v>
      </c>
      <c r="J23" s="388"/>
      <c r="K23" s="393"/>
      <c r="L23" s="232"/>
      <c r="M23" s="225"/>
      <c r="N23" s="233"/>
    </row>
    <row r="24" spans="1:14" s="219" customFormat="1" ht="11.25" customHeight="1">
      <c r="A24" s="187">
        <f t="shared" si="0"/>
        <v>13</v>
      </c>
      <c r="B24" s="405"/>
      <c r="C24" s="388" t="s">
        <v>900</v>
      </c>
      <c r="D24" s="424"/>
      <c r="E24" s="388" t="s">
        <v>901</v>
      </c>
      <c r="F24" s="389"/>
      <c r="G24" s="390"/>
      <c r="H24" s="190" t="s">
        <v>316</v>
      </c>
      <c r="I24" s="190" t="s">
        <v>316</v>
      </c>
      <c r="J24" s="388"/>
      <c r="K24" s="393"/>
      <c r="L24" s="232"/>
      <c r="M24" s="225"/>
      <c r="N24" s="233"/>
    </row>
    <row r="25" spans="1:14" s="219" customFormat="1" ht="96.75" customHeight="1">
      <c r="A25" s="187">
        <f t="shared" si="0"/>
        <v>14</v>
      </c>
      <c r="B25" s="405"/>
      <c r="C25" s="388" t="s">
        <v>902</v>
      </c>
      <c r="D25" s="424"/>
      <c r="E25" s="388" t="s">
        <v>903</v>
      </c>
      <c r="F25" s="389"/>
      <c r="G25" s="390"/>
      <c r="H25" s="190" t="s">
        <v>316</v>
      </c>
      <c r="I25" s="190" t="str">
        <f>I31</f>
        <v>-</v>
      </c>
      <c r="J25" s="388" t="s">
        <v>904</v>
      </c>
      <c r="K25" s="393"/>
      <c r="L25" s="232"/>
      <c r="M25" s="225"/>
      <c r="N25" s="233"/>
    </row>
    <row r="26" spans="1:14" s="219" customFormat="1" ht="12" customHeight="1">
      <c r="A26" s="187">
        <f t="shared" si="0"/>
        <v>15</v>
      </c>
      <c r="B26" s="405"/>
      <c r="C26" s="388"/>
      <c r="D26" s="424"/>
      <c r="E26" s="388" t="s">
        <v>905</v>
      </c>
      <c r="F26" s="389"/>
      <c r="G26" s="390"/>
      <c r="H26" s="190" t="s">
        <v>316</v>
      </c>
      <c r="I26" s="190" t="s">
        <v>316</v>
      </c>
      <c r="J26" s="388"/>
      <c r="K26" s="393"/>
      <c r="L26" s="232"/>
      <c r="M26" s="225"/>
      <c r="N26" s="233"/>
    </row>
    <row r="27" spans="1:14" s="219" customFormat="1" ht="12" customHeight="1">
      <c r="A27" s="187">
        <f t="shared" si="0"/>
        <v>16</v>
      </c>
      <c r="B27" s="405"/>
      <c r="C27" s="388"/>
      <c r="D27" s="424"/>
      <c r="E27" s="388" t="s">
        <v>906</v>
      </c>
      <c r="F27" s="389"/>
      <c r="G27" s="390"/>
      <c r="H27" s="190" t="s">
        <v>316</v>
      </c>
      <c r="I27" s="190" t="s">
        <v>316</v>
      </c>
      <c r="J27" s="388"/>
      <c r="K27" s="393"/>
      <c r="L27" s="232"/>
      <c r="M27" s="225"/>
      <c r="N27" s="233"/>
    </row>
    <row r="28" spans="1:14" s="219" customFormat="1" ht="12" customHeight="1">
      <c r="A28" s="187">
        <f t="shared" si="0"/>
        <v>17</v>
      </c>
      <c r="B28" s="405"/>
      <c r="C28" s="388"/>
      <c r="D28" s="424"/>
      <c r="E28" s="388" t="s">
        <v>907</v>
      </c>
      <c r="F28" s="389"/>
      <c r="G28" s="390"/>
      <c r="H28" s="190" t="s">
        <v>316</v>
      </c>
      <c r="I28" s="190" t="s">
        <v>316</v>
      </c>
      <c r="J28" s="388"/>
      <c r="K28" s="393"/>
      <c r="L28" s="232"/>
      <c r="M28" s="225"/>
      <c r="N28" s="233"/>
    </row>
    <row r="29" spans="1:14" s="219" customFormat="1" ht="24.75" customHeight="1">
      <c r="A29" s="187">
        <f t="shared" si="0"/>
        <v>18</v>
      </c>
      <c r="B29" s="405"/>
      <c r="C29" s="388"/>
      <c r="D29" s="424"/>
      <c r="E29" s="388" t="s">
        <v>908</v>
      </c>
      <c r="F29" s="389"/>
      <c r="G29" s="390"/>
      <c r="H29" s="190" t="s">
        <v>316</v>
      </c>
      <c r="I29" s="190" t="s">
        <v>316</v>
      </c>
      <c r="J29" s="388"/>
      <c r="K29" s="393"/>
      <c r="L29" s="232"/>
      <c r="M29" s="225"/>
      <c r="N29" s="233"/>
    </row>
    <row r="30" spans="1:14" s="219" customFormat="1" ht="24.75" customHeight="1">
      <c r="A30" s="187">
        <f t="shared" si="0"/>
        <v>19</v>
      </c>
      <c r="B30" s="405"/>
      <c r="C30" s="388" t="s">
        <v>909</v>
      </c>
      <c r="D30" s="424"/>
      <c r="E30" s="388" t="s">
        <v>910</v>
      </c>
      <c r="F30" s="389"/>
      <c r="G30" s="390"/>
      <c r="H30" s="407" t="s">
        <v>911</v>
      </c>
      <c r="I30" s="190" t="s">
        <v>316</v>
      </c>
      <c r="J30" s="388"/>
      <c r="K30" s="393"/>
      <c r="L30" s="232"/>
      <c r="M30" s="225"/>
      <c r="N30" s="233"/>
    </row>
    <row r="31" spans="1:14" s="219" customFormat="1" ht="24.75" customHeight="1">
      <c r="A31" s="187">
        <f t="shared" si="0"/>
        <v>20</v>
      </c>
      <c r="B31" s="405"/>
      <c r="C31" s="388"/>
      <c r="D31" s="424"/>
      <c r="E31" s="388" t="s">
        <v>912</v>
      </c>
      <c r="F31" s="389"/>
      <c r="G31" s="390"/>
      <c r="H31" s="408"/>
      <c r="I31" s="190" t="s">
        <v>316</v>
      </c>
      <c r="J31" s="388"/>
      <c r="K31" s="393"/>
      <c r="L31" s="232"/>
      <c r="M31" s="225"/>
      <c r="N31" s="233"/>
    </row>
    <row r="32" spans="1:14" s="219" customFormat="1">
      <c r="A32" s="187">
        <f t="shared" si="0"/>
        <v>21</v>
      </c>
      <c r="B32" s="405"/>
      <c r="C32" s="388" t="s">
        <v>913</v>
      </c>
      <c r="D32" s="390"/>
      <c r="E32" s="388" t="s">
        <v>914</v>
      </c>
      <c r="F32" s="389"/>
      <c r="G32" s="390"/>
      <c r="H32" s="190" t="s">
        <v>316</v>
      </c>
      <c r="I32" s="190" t="s">
        <v>316</v>
      </c>
      <c r="J32" s="388"/>
      <c r="K32" s="393"/>
      <c r="L32" s="232"/>
      <c r="M32" s="225"/>
      <c r="N32" s="233"/>
    </row>
    <row r="33" spans="1:14" s="220" customFormat="1" ht="12" customHeight="1">
      <c r="A33" s="187">
        <f t="shared" si="0"/>
        <v>22</v>
      </c>
      <c r="B33" s="405"/>
      <c r="C33" s="433"/>
      <c r="D33" s="390"/>
      <c r="E33" s="394" t="s">
        <v>915</v>
      </c>
      <c r="F33" s="389"/>
      <c r="G33" s="390"/>
      <c r="H33" s="190" t="s">
        <v>316</v>
      </c>
      <c r="I33" s="190" t="s">
        <v>316</v>
      </c>
      <c r="J33" s="388"/>
      <c r="K33" s="393"/>
      <c r="L33" s="232"/>
      <c r="M33" s="225"/>
      <c r="N33" s="233"/>
    </row>
    <row r="34" spans="1:14" s="220" customFormat="1" ht="12" customHeight="1">
      <c r="A34" s="187">
        <f t="shared" si="0"/>
        <v>23</v>
      </c>
      <c r="B34" s="405"/>
      <c r="C34" s="433"/>
      <c r="D34" s="390"/>
      <c r="E34" s="394" t="s">
        <v>916</v>
      </c>
      <c r="F34" s="389"/>
      <c r="G34" s="390"/>
      <c r="H34" s="190" t="s">
        <v>316</v>
      </c>
      <c r="I34" s="190" t="s">
        <v>316</v>
      </c>
      <c r="J34" s="388"/>
      <c r="K34" s="393"/>
      <c r="L34" s="232"/>
      <c r="M34" s="225"/>
      <c r="N34" s="233"/>
    </row>
    <row r="35" spans="1:14" s="220" customFormat="1" ht="23.25" customHeight="1">
      <c r="A35" s="187">
        <f t="shared" si="0"/>
        <v>24</v>
      </c>
      <c r="B35" s="405"/>
      <c r="C35" s="433"/>
      <c r="D35" s="390"/>
      <c r="E35" s="394" t="s">
        <v>917</v>
      </c>
      <c r="F35" s="389"/>
      <c r="G35" s="390"/>
      <c r="H35" s="190" t="s">
        <v>316</v>
      </c>
      <c r="I35" s="190" t="s">
        <v>316</v>
      </c>
      <c r="J35" s="388"/>
      <c r="K35" s="393"/>
      <c r="L35" s="232"/>
      <c r="M35" s="225"/>
      <c r="N35" s="233"/>
    </row>
    <row r="36" spans="1:14" s="220" customFormat="1" ht="40.5" customHeight="1">
      <c r="A36" s="187">
        <f t="shared" si="0"/>
        <v>25</v>
      </c>
      <c r="B36" s="405"/>
      <c r="C36" s="433"/>
      <c r="D36" s="390"/>
      <c r="E36" s="394" t="s">
        <v>918</v>
      </c>
      <c r="F36" s="389"/>
      <c r="G36" s="390"/>
      <c r="H36" s="190" t="s">
        <v>316</v>
      </c>
      <c r="I36" s="190" t="s">
        <v>316</v>
      </c>
      <c r="J36" s="388"/>
      <c r="K36" s="393"/>
      <c r="L36" s="232"/>
      <c r="M36" s="225"/>
      <c r="N36" s="233"/>
    </row>
    <row r="37" spans="1:14" s="219" customFormat="1" ht="11.25" customHeight="1">
      <c r="A37" s="187">
        <f t="shared" si="0"/>
        <v>26</v>
      </c>
      <c r="B37" s="405"/>
      <c r="C37" s="431" t="s">
        <v>919</v>
      </c>
      <c r="D37" s="456"/>
      <c r="E37" s="388" t="s">
        <v>920</v>
      </c>
      <c r="F37" s="389"/>
      <c r="G37" s="390"/>
      <c r="H37" s="190" t="s">
        <v>893</v>
      </c>
      <c r="I37" s="190" t="s">
        <v>316</v>
      </c>
      <c r="J37" s="388"/>
      <c r="K37" s="393"/>
      <c r="L37" s="232"/>
      <c r="M37" s="225"/>
      <c r="N37" s="233"/>
    </row>
    <row r="38" spans="1:14" s="219" customFormat="1" ht="13.5" customHeight="1">
      <c r="A38" s="187">
        <f t="shared" si="0"/>
        <v>27</v>
      </c>
      <c r="B38" s="405"/>
      <c r="C38" s="431"/>
      <c r="D38" s="456"/>
      <c r="E38" s="388" t="s">
        <v>921</v>
      </c>
      <c r="F38" s="389"/>
      <c r="G38" s="390"/>
      <c r="H38" s="190" t="s">
        <v>893</v>
      </c>
      <c r="I38" s="190" t="s">
        <v>316</v>
      </c>
      <c r="J38" s="388"/>
      <c r="K38" s="393"/>
      <c r="L38" s="232"/>
      <c r="M38" s="225"/>
      <c r="N38" s="233"/>
    </row>
    <row r="39" spans="1:14" s="219" customFormat="1" ht="25.5" customHeight="1">
      <c r="A39" s="187">
        <f t="shared" si="0"/>
        <v>28</v>
      </c>
      <c r="B39" s="405"/>
      <c r="C39" s="431"/>
      <c r="D39" s="456"/>
      <c r="E39" s="388" t="s">
        <v>922</v>
      </c>
      <c r="F39" s="389"/>
      <c r="G39" s="390"/>
      <c r="H39" s="190" t="s">
        <v>923</v>
      </c>
      <c r="I39" s="190" t="s">
        <v>316</v>
      </c>
      <c r="J39" s="388"/>
      <c r="K39" s="393"/>
      <c r="L39" s="232"/>
      <c r="M39" s="225"/>
      <c r="N39" s="233"/>
    </row>
    <row r="40" spans="1:14" s="219" customFormat="1" ht="13.5" customHeight="1">
      <c r="A40" s="187">
        <f t="shared" si="0"/>
        <v>29</v>
      </c>
      <c r="B40" s="405"/>
      <c r="C40" s="431"/>
      <c r="D40" s="456"/>
      <c r="E40" s="388" t="s">
        <v>924</v>
      </c>
      <c r="F40" s="389"/>
      <c r="G40" s="390"/>
      <c r="H40" s="251" t="s">
        <v>911</v>
      </c>
      <c r="I40" s="190" t="s">
        <v>316</v>
      </c>
      <c r="J40" s="388"/>
      <c r="K40" s="393"/>
      <c r="L40" s="232"/>
      <c r="M40" s="225"/>
      <c r="N40" s="233"/>
    </row>
    <row r="41" spans="1:14" s="219" customFormat="1" ht="11.25" customHeight="1">
      <c r="A41" s="187">
        <f t="shared" si="0"/>
        <v>30</v>
      </c>
      <c r="B41" s="405"/>
      <c r="C41" s="431" t="s">
        <v>925</v>
      </c>
      <c r="D41" s="430"/>
      <c r="E41" s="440" t="s">
        <v>926</v>
      </c>
      <c r="F41" s="441"/>
      <c r="G41" s="442"/>
      <c r="H41" s="190" t="s">
        <v>316</v>
      </c>
      <c r="I41" s="190" t="s">
        <v>316</v>
      </c>
      <c r="J41" s="388"/>
      <c r="K41" s="393"/>
      <c r="L41" s="232"/>
      <c r="M41" s="225"/>
      <c r="N41" s="233"/>
    </row>
    <row r="42" spans="1:14" s="219" customFormat="1" ht="11.25" customHeight="1">
      <c r="A42" s="187">
        <f t="shared" si="0"/>
        <v>31</v>
      </c>
      <c r="B42" s="405"/>
      <c r="C42" s="431" t="s">
        <v>927</v>
      </c>
      <c r="D42" s="430"/>
      <c r="E42" s="440" t="s">
        <v>928</v>
      </c>
      <c r="F42" s="443"/>
      <c r="G42" s="444"/>
      <c r="H42" s="190" t="s">
        <v>316</v>
      </c>
      <c r="I42" s="190" t="s">
        <v>316</v>
      </c>
      <c r="J42" s="388"/>
      <c r="K42" s="393"/>
      <c r="L42" s="232"/>
      <c r="M42" s="225"/>
      <c r="N42" s="233"/>
    </row>
    <row r="43" spans="1:14" s="219" customFormat="1" ht="12" customHeight="1">
      <c r="A43" s="187">
        <f t="shared" si="0"/>
        <v>32</v>
      </c>
      <c r="B43" s="405"/>
      <c r="C43" s="432"/>
      <c r="D43" s="430"/>
      <c r="E43" s="440" t="s">
        <v>929</v>
      </c>
      <c r="F43" s="443"/>
      <c r="G43" s="444"/>
      <c r="H43" s="190" t="s">
        <v>316</v>
      </c>
      <c r="I43" s="190" t="s">
        <v>316</v>
      </c>
      <c r="J43" s="388"/>
      <c r="K43" s="393"/>
      <c r="L43" s="232"/>
      <c r="M43" s="225"/>
      <c r="N43" s="233"/>
    </row>
    <row r="44" spans="1:14" s="219" customFormat="1" ht="33.75" customHeight="1">
      <c r="A44" s="187">
        <f t="shared" si="0"/>
        <v>33</v>
      </c>
      <c r="B44" s="405"/>
      <c r="C44" s="432"/>
      <c r="D44" s="430"/>
      <c r="E44" s="388" t="s">
        <v>930</v>
      </c>
      <c r="F44" s="389"/>
      <c r="G44" s="390"/>
      <c r="H44" s="190" t="s">
        <v>316</v>
      </c>
      <c r="I44" s="190" t="s">
        <v>316</v>
      </c>
      <c r="J44" s="388"/>
      <c r="K44" s="393"/>
      <c r="L44" s="232"/>
      <c r="M44" s="225"/>
      <c r="N44" s="233"/>
    </row>
    <row r="45" spans="1:14" s="219" customFormat="1" ht="11.25" customHeight="1">
      <c r="A45" s="187">
        <f t="shared" si="0"/>
        <v>34</v>
      </c>
      <c r="B45" s="405"/>
      <c r="C45" s="432"/>
      <c r="D45" s="430"/>
      <c r="E45" s="388" t="s">
        <v>931</v>
      </c>
      <c r="F45" s="389"/>
      <c r="G45" s="390"/>
      <c r="H45" s="190" t="s">
        <v>316</v>
      </c>
      <c r="I45" s="190" t="s">
        <v>316</v>
      </c>
      <c r="J45" s="388"/>
      <c r="K45" s="393"/>
      <c r="L45" s="232"/>
      <c r="M45" s="225"/>
      <c r="N45" s="233"/>
    </row>
    <row r="46" spans="1:14" s="219" customFormat="1" ht="31.5" customHeight="1">
      <c r="A46" s="187">
        <f t="shared" si="0"/>
        <v>35</v>
      </c>
      <c r="B46" s="405"/>
      <c r="C46" s="432"/>
      <c r="D46" s="430"/>
      <c r="E46" s="388" t="s">
        <v>932</v>
      </c>
      <c r="F46" s="389"/>
      <c r="G46" s="390"/>
      <c r="H46" s="190" t="s">
        <v>316</v>
      </c>
      <c r="I46" s="190" t="s">
        <v>316</v>
      </c>
      <c r="J46" s="388"/>
      <c r="K46" s="393"/>
      <c r="L46" s="232"/>
      <c r="M46" s="225"/>
      <c r="N46" s="233"/>
    </row>
    <row r="47" spans="1:14" s="219" customFormat="1" ht="27" customHeight="1">
      <c r="A47" s="187">
        <f t="shared" si="0"/>
        <v>36</v>
      </c>
      <c r="B47" s="405"/>
      <c r="C47" s="432"/>
      <c r="D47" s="430"/>
      <c r="E47" s="388" t="s">
        <v>933</v>
      </c>
      <c r="F47" s="389"/>
      <c r="G47" s="390"/>
      <c r="H47" s="190" t="s">
        <v>316</v>
      </c>
      <c r="I47" s="190" t="s">
        <v>316</v>
      </c>
      <c r="J47" s="388"/>
      <c r="K47" s="393"/>
      <c r="L47" s="232"/>
      <c r="M47" s="225"/>
      <c r="N47" s="233"/>
    </row>
    <row r="48" spans="1:14" s="219" customFormat="1" ht="11.25" customHeight="1">
      <c r="A48" s="187">
        <f t="shared" si="0"/>
        <v>37</v>
      </c>
      <c r="B48" s="405"/>
      <c r="C48" s="431" t="s">
        <v>934</v>
      </c>
      <c r="D48" s="430"/>
      <c r="E48" s="388" t="s">
        <v>935</v>
      </c>
      <c r="F48" s="389"/>
      <c r="G48" s="390"/>
      <c r="H48" s="190" t="s">
        <v>316</v>
      </c>
      <c r="I48" s="190" t="s">
        <v>316</v>
      </c>
      <c r="J48" s="388"/>
      <c r="K48" s="393"/>
      <c r="L48" s="232"/>
      <c r="M48" s="225"/>
      <c r="N48" s="233"/>
    </row>
    <row r="49" spans="1:14" s="219" customFormat="1" ht="12" customHeight="1">
      <c r="A49" s="187">
        <f t="shared" si="0"/>
        <v>38</v>
      </c>
      <c r="B49" s="405"/>
      <c r="C49" s="432"/>
      <c r="D49" s="430"/>
      <c r="E49" s="388" t="s">
        <v>936</v>
      </c>
      <c r="F49" s="389"/>
      <c r="G49" s="390"/>
      <c r="H49" s="190" t="s">
        <v>316</v>
      </c>
      <c r="I49" s="190" t="s">
        <v>316</v>
      </c>
      <c r="J49" s="388"/>
      <c r="K49" s="393"/>
      <c r="L49" s="232"/>
      <c r="M49" s="225"/>
      <c r="N49" s="233"/>
    </row>
    <row r="50" spans="1:14" s="219" customFormat="1" ht="25.5" customHeight="1">
      <c r="A50" s="187">
        <f t="shared" si="0"/>
        <v>39</v>
      </c>
      <c r="B50" s="405"/>
      <c r="C50" s="432"/>
      <c r="D50" s="430"/>
      <c r="E50" s="388" t="s">
        <v>937</v>
      </c>
      <c r="F50" s="389"/>
      <c r="G50" s="390"/>
      <c r="H50" s="190" t="s">
        <v>316</v>
      </c>
      <c r="I50" s="190" t="s">
        <v>316</v>
      </c>
      <c r="J50" s="388" t="s">
        <v>938</v>
      </c>
      <c r="K50" s="393"/>
      <c r="L50" s="232"/>
      <c r="M50" s="225"/>
      <c r="N50" s="233"/>
    </row>
    <row r="51" spans="1:14" s="219" customFormat="1" ht="12" customHeight="1">
      <c r="A51" s="187">
        <f t="shared" si="0"/>
        <v>40</v>
      </c>
      <c r="B51" s="406"/>
      <c r="C51" s="432"/>
      <c r="D51" s="430"/>
      <c r="E51" s="388" t="s">
        <v>939</v>
      </c>
      <c r="F51" s="389"/>
      <c r="G51" s="390"/>
      <c r="H51" s="190" t="s">
        <v>316</v>
      </c>
      <c r="I51" s="190" t="s">
        <v>316</v>
      </c>
      <c r="J51" s="388"/>
      <c r="K51" s="393"/>
      <c r="L51" s="232"/>
      <c r="M51" s="225"/>
      <c r="N51" s="233"/>
    </row>
    <row r="52" spans="1:14" s="220" customFormat="1" ht="11.25" customHeight="1">
      <c r="A52" s="187">
        <f t="shared" si="0"/>
        <v>41</v>
      </c>
      <c r="B52" s="425" t="s">
        <v>940</v>
      </c>
      <c r="C52" s="431" t="s">
        <v>941</v>
      </c>
      <c r="D52" s="430"/>
      <c r="E52" s="388" t="s">
        <v>942</v>
      </c>
      <c r="F52" s="389"/>
      <c r="G52" s="390"/>
      <c r="H52" s="190" t="s">
        <v>316</v>
      </c>
      <c r="I52" s="190" t="s">
        <v>316</v>
      </c>
      <c r="J52" s="388"/>
      <c r="K52" s="393"/>
      <c r="L52" s="232"/>
      <c r="M52" s="225"/>
      <c r="N52" s="233"/>
    </row>
    <row r="53" spans="1:14" s="220" customFormat="1" ht="29.25" customHeight="1">
      <c r="A53" s="187">
        <f t="shared" si="0"/>
        <v>42</v>
      </c>
      <c r="B53" s="405"/>
      <c r="C53" s="432"/>
      <c r="D53" s="430"/>
      <c r="E53" s="388" t="s">
        <v>943</v>
      </c>
      <c r="F53" s="389"/>
      <c r="G53" s="390"/>
      <c r="H53" s="190" t="s">
        <v>316</v>
      </c>
      <c r="I53" s="190" t="s">
        <v>316</v>
      </c>
      <c r="J53" s="388"/>
      <c r="K53" s="393"/>
      <c r="L53" s="232"/>
      <c r="M53" s="225"/>
      <c r="N53" s="233"/>
    </row>
    <row r="54" spans="1:14" s="220" customFormat="1" ht="11.25" customHeight="1">
      <c r="A54" s="187">
        <f t="shared" si="0"/>
        <v>43</v>
      </c>
      <c r="B54" s="405"/>
      <c r="C54" s="431" t="s">
        <v>944</v>
      </c>
      <c r="D54" s="430"/>
      <c r="E54" s="388" t="s">
        <v>945</v>
      </c>
      <c r="F54" s="389"/>
      <c r="G54" s="390"/>
      <c r="H54" s="190" t="s">
        <v>893</v>
      </c>
      <c r="I54" s="190" t="s">
        <v>946</v>
      </c>
      <c r="J54" s="388"/>
      <c r="K54" s="393"/>
      <c r="L54" s="232"/>
      <c r="M54" s="225"/>
      <c r="N54" s="233"/>
    </row>
    <row r="55" spans="1:14" s="220" customFormat="1" ht="30" customHeight="1">
      <c r="A55" s="187">
        <f t="shared" si="0"/>
        <v>44</v>
      </c>
      <c r="B55" s="405"/>
      <c r="C55" s="431" t="s">
        <v>947</v>
      </c>
      <c r="D55" s="430"/>
      <c r="E55" s="388" t="s">
        <v>948</v>
      </c>
      <c r="F55" s="389"/>
      <c r="G55" s="390"/>
      <c r="H55" s="191" t="s">
        <v>949</v>
      </c>
      <c r="I55" s="190" t="s">
        <v>316</v>
      </c>
      <c r="J55" s="388"/>
      <c r="K55" s="393"/>
      <c r="L55" s="232"/>
      <c r="M55" s="225"/>
      <c r="N55" s="233"/>
    </row>
    <row r="56" spans="1:14" s="220" customFormat="1" ht="29.25" customHeight="1">
      <c r="A56" s="187">
        <f t="shared" si="0"/>
        <v>45</v>
      </c>
      <c r="B56" s="405"/>
      <c r="C56" s="431" t="s">
        <v>950</v>
      </c>
      <c r="D56" s="430"/>
      <c r="E56" s="388" t="s">
        <v>951</v>
      </c>
      <c r="F56" s="389"/>
      <c r="G56" s="390"/>
      <c r="H56" s="190" t="s">
        <v>316</v>
      </c>
      <c r="I56" s="190" t="s">
        <v>316</v>
      </c>
      <c r="J56" s="388"/>
      <c r="K56" s="393"/>
      <c r="L56" s="232"/>
      <c r="M56" s="225"/>
      <c r="N56" s="233"/>
    </row>
    <row r="57" spans="1:14" s="220" customFormat="1" ht="11.25" customHeight="1">
      <c r="A57" s="187">
        <f t="shared" si="0"/>
        <v>46</v>
      </c>
      <c r="B57" s="406"/>
      <c r="C57" s="431" t="s">
        <v>952</v>
      </c>
      <c r="D57" s="430"/>
      <c r="E57" s="388" t="s">
        <v>953</v>
      </c>
      <c r="F57" s="389"/>
      <c r="G57" s="390"/>
      <c r="H57" s="190" t="s">
        <v>893</v>
      </c>
      <c r="I57" s="190" t="s">
        <v>316</v>
      </c>
      <c r="J57" s="388"/>
      <c r="K57" s="393"/>
      <c r="L57" s="232"/>
      <c r="M57" s="225"/>
      <c r="N57" s="233"/>
    </row>
    <row r="58" spans="1:14" s="221" customFormat="1">
      <c r="A58" s="187">
        <f t="shared" si="0"/>
        <v>47</v>
      </c>
      <c r="B58" s="425" t="s">
        <v>954</v>
      </c>
      <c r="C58" s="426" t="s">
        <v>955</v>
      </c>
      <c r="D58" s="427"/>
      <c r="E58" s="427"/>
      <c r="F58" s="428"/>
      <c r="G58" s="192" t="s">
        <v>956</v>
      </c>
      <c r="H58" s="193"/>
      <c r="I58" s="193"/>
      <c r="J58" s="458"/>
      <c r="K58" s="393"/>
      <c r="L58" s="234"/>
      <c r="M58" s="226"/>
      <c r="N58" s="235"/>
    </row>
    <row r="59" spans="1:14" s="219" customFormat="1" ht="12" customHeight="1">
      <c r="A59" s="187">
        <f t="shared" si="0"/>
        <v>48</v>
      </c>
      <c r="B59" s="405"/>
      <c r="C59" s="429" t="s">
        <v>957</v>
      </c>
      <c r="D59" s="430"/>
      <c r="E59" s="437"/>
      <c r="F59" s="390"/>
      <c r="G59" s="196"/>
      <c r="H59" s="197" t="s">
        <v>316</v>
      </c>
      <c r="I59" s="190" t="s">
        <v>316</v>
      </c>
      <c r="J59" s="388"/>
      <c r="K59" s="393"/>
      <c r="L59" s="232"/>
      <c r="M59" s="225"/>
      <c r="N59" s="233"/>
    </row>
    <row r="60" spans="1:14" s="219" customFormat="1" ht="12" customHeight="1">
      <c r="A60" s="187">
        <f t="shared" si="0"/>
        <v>49</v>
      </c>
      <c r="B60" s="405"/>
      <c r="C60" s="429" t="s">
        <v>958</v>
      </c>
      <c r="D60" s="430"/>
      <c r="E60" s="437"/>
      <c r="F60" s="390"/>
      <c r="G60" s="198"/>
      <c r="H60" s="197" t="s">
        <v>316</v>
      </c>
      <c r="I60" s="190" t="s">
        <v>316</v>
      </c>
      <c r="J60" s="388"/>
      <c r="K60" s="393"/>
      <c r="L60" s="232"/>
      <c r="M60" s="225"/>
      <c r="N60" s="233"/>
    </row>
    <row r="61" spans="1:14" s="219" customFormat="1" ht="12" customHeight="1">
      <c r="A61" s="187">
        <f t="shared" si="0"/>
        <v>50</v>
      </c>
      <c r="B61" s="405"/>
      <c r="C61" s="429" t="s">
        <v>959</v>
      </c>
      <c r="D61" s="430"/>
      <c r="E61" s="437" t="s">
        <v>960</v>
      </c>
      <c r="F61" s="390"/>
      <c r="G61" s="199"/>
      <c r="H61" s="197" t="s">
        <v>316</v>
      </c>
      <c r="I61" s="190" t="s">
        <v>316</v>
      </c>
      <c r="J61" s="388"/>
      <c r="K61" s="393"/>
      <c r="L61" s="232"/>
      <c r="M61" s="225"/>
      <c r="N61" s="233"/>
    </row>
    <row r="62" spans="1:14" s="219" customFormat="1" ht="12" customHeight="1">
      <c r="A62" s="187">
        <f>A61+1</f>
        <v>51</v>
      </c>
      <c r="B62" s="405"/>
      <c r="C62" s="432"/>
      <c r="D62" s="430"/>
      <c r="E62" s="437" t="s">
        <v>961</v>
      </c>
      <c r="F62" s="390"/>
      <c r="G62" s="200"/>
      <c r="H62" s="197" t="s">
        <v>316</v>
      </c>
      <c r="I62" s="190" t="s">
        <v>316</v>
      </c>
      <c r="J62" s="388"/>
      <c r="K62" s="393"/>
      <c r="L62" s="232"/>
      <c r="M62" s="225"/>
      <c r="N62" s="233"/>
    </row>
    <row r="63" spans="1:14" s="219" customFormat="1" ht="12" customHeight="1">
      <c r="A63" s="187">
        <f t="shared" si="0"/>
        <v>52</v>
      </c>
      <c r="B63" s="405"/>
      <c r="C63" s="429" t="s">
        <v>962</v>
      </c>
      <c r="D63" s="430"/>
      <c r="E63" s="437"/>
      <c r="F63" s="390"/>
      <c r="G63" s="200"/>
      <c r="H63" s="197" t="s">
        <v>316</v>
      </c>
      <c r="I63" s="190" t="s">
        <v>316</v>
      </c>
      <c r="J63" s="388"/>
      <c r="K63" s="393"/>
      <c r="L63" s="232"/>
      <c r="M63" s="225"/>
      <c r="N63" s="233"/>
    </row>
    <row r="64" spans="1:14" s="219" customFormat="1" ht="12" customHeight="1">
      <c r="A64" s="187">
        <f t="shared" si="0"/>
        <v>53</v>
      </c>
      <c r="B64" s="405"/>
      <c r="C64" s="429" t="s">
        <v>963</v>
      </c>
      <c r="D64" s="430"/>
      <c r="E64" s="437"/>
      <c r="F64" s="390"/>
      <c r="G64" s="200"/>
      <c r="H64" s="197" t="s">
        <v>316</v>
      </c>
      <c r="I64" s="190" t="s">
        <v>316</v>
      </c>
      <c r="J64" s="388"/>
      <c r="K64" s="393"/>
      <c r="L64" s="232"/>
      <c r="M64" s="225"/>
      <c r="N64" s="233"/>
    </row>
    <row r="65" spans="1:14" s="219" customFormat="1" ht="12" customHeight="1">
      <c r="A65" s="187">
        <f t="shared" si="0"/>
        <v>54</v>
      </c>
      <c r="B65" s="405"/>
      <c r="C65" s="429" t="s">
        <v>964</v>
      </c>
      <c r="D65" s="430"/>
      <c r="E65" s="437" t="s">
        <v>965</v>
      </c>
      <c r="F65" s="390"/>
      <c r="G65" s="199"/>
      <c r="H65" s="197" t="s">
        <v>316</v>
      </c>
      <c r="I65" s="190" t="s">
        <v>316</v>
      </c>
      <c r="J65" s="388"/>
      <c r="K65" s="393"/>
      <c r="L65" s="232"/>
      <c r="M65" s="225"/>
      <c r="N65" s="233"/>
    </row>
    <row r="66" spans="1:14" s="219" customFormat="1" ht="12" customHeight="1">
      <c r="A66" s="187">
        <f t="shared" si="0"/>
        <v>55</v>
      </c>
      <c r="B66" s="405"/>
      <c r="C66" s="432"/>
      <c r="D66" s="430"/>
      <c r="E66" s="437" t="s">
        <v>966</v>
      </c>
      <c r="F66" s="390"/>
      <c r="G66" s="196"/>
      <c r="H66" s="197" t="s">
        <v>316</v>
      </c>
      <c r="I66" s="190" t="s">
        <v>316</v>
      </c>
      <c r="J66" s="388"/>
      <c r="K66" s="393"/>
      <c r="L66" s="232"/>
      <c r="M66" s="225"/>
      <c r="N66" s="233"/>
    </row>
    <row r="67" spans="1:14" s="219" customFormat="1" ht="12" customHeight="1">
      <c r="A67" s="187">
        <f t="shared" si="0"/>
        <v>56</v>
      </c>
      <c r="B67" s="405"/>
      <c r="C67" s="429" t="s">
        <v>967</v>
      </c>
      <c r="D67" s="430"/>
      <c r="E67" s="437" t="s">
        <v>966</v>
      </c>
      <c r="F67" s="390"/>
      <c r="G67" s="201"/>
      <c r="H67" s="197" t="s">
        <v>316</v>
      </c>
      <c r="I67" s="190" t="s">
        <v>316</v>
      </c>
      <c r="J67" s="388"/>
      <c r="K67" s="393"/>
      <c r="L67" s="232"/>
      <c r="M67" s="225"/>
      <c r="N67" s="233"/>
    </row>
    <row r="68" spans="1:14" s="219" customFormat="1" ht="12" customHeight="1">
      <c r="A68" s="187">
        <f t="shared" si="0"/>
        <v>57</v>
      </c>
      <c r="B68" s="405"/>
      <c r="C68" s="429" t="s">
        <v>968</v>
      </c>
      <c r="D68" s="430"/>
      <c r="E68" s="437" t="s">
        <v>965</v>
      </c>
      <c r="F68" s="390"/>
      <c r="G68" s="202"/>
      <c r="H68" s="197" t="s">
        <v>316</v>
      </c>
      <c r="I68" s="190" t="s">
        <v>316</v>
      </c>
      <c r="J68" s="388"/>
      <c r="K68" s="393"/>
      <c r="L68" s="232"/>
      <c r="M68" s="225"/>
      <c r="N68" s="233"/>
    </row>
    <row r="69" spans="1:14" s="219" customFormat="1" ht="12" customHeight="1">
      <c r="A69" s="187">
        <f t="shared" si="0"/>
        <v>58</v>
      </c>
      <c r="B69" s="405"/>
      <c r="C69" s="432"/>
      <c r="D69" s="430"/>
      <c r="E69" s="437" t="s">
        <v>966</v>
      </c>
      <c r="F69" s="390"/>
      <c r="G69" s="203"/>
      <c r="H69" s="197" t="s">
        <v>316</v>
      </c>
      <c r="I69" s="190" t="s">
        <v>316</v>
      </c>
      <c r="J69" s="388"/>
      <c r="K69" s="393"/>
      <c r="L69" s="232"/>
      <c r="M69" s="225"/>
      <c r="N69" s="233"/>
    </row>
    <row r="70" spans="1:14" s="219" customFormat="1" ht="12" customHeight="1">
      <c r="A70" s="187">
        <f t="shared" si="0"/>
        <v>59</v>
      </c>
      <c r="B70" s="405"/>
      <c r="C70" s="429" t="s">
        <v>969</v>
      </c>
      <c r="D70" s="430"/>
      <c r="E70" s="437"/>
      <c r="F70" s="390"/>
      <c r="G70" s="196"/>
      <c r="H70" s="197" t="s">
        <v>316</v>
      </c>
      <c r="I70" s="190" t="s">
        <v>316</v>
      </c>
      <c r="J70" s="388"/>
      <c r="K70" s="459"/>
      <c r="L70" s="232"/>
      <c r="M70" s="225"/>
      <c r="N70" s="233"/>
    </row>
    <row r="71" spans="1:14" s="219" customFormat="1" ht="12" customHeight="1">
      <c r="A71" s="187">
        <f t="shared" si="0"/>
        <v>60</v>
      </c>
      <c r="B71" s="405"/>
      <c r="C71" s="429" t="s">
        <v>970</v>
      </c>
      <c r="D71" s="430"/>
      <c r="E71" s="437"/>
      <c r="F71" s="390"/>
      <c r="G71" s="204"/>
      <c r="H71" s="197" t="s">
        <v>316</v>
      </c>
      <c r="I71" s="190" t="s">
        <v>316</v>
      </c>
      <c r="J71" s="388"/>
      <c r="K71" s="393"/>
      <c r="M71" s="225"/>
      <c r="N71" s="233"/>
    </row>
    <row r="72" spans="1:14" s="219" customFormat="1" ht="12" customHeight="1">
      <c r="A72" s="187">
        <f t="shared" si="0"/>
        <v>61</v>
      </c>
      <c r="B72" s="405"/>
      <c r="C72" s="429" t="s">
        <v>971</v>
      </c>
      <c r="D72" s="430"/>
      <c r="E72" s="437"/>
      <c r="F72" s="390"/>
      <c r="G72" s="204"/>
      <c r="H72" s="197" t="s">
        <v>316</v>
      </c>
      <c r="I72" s="190" t="s">
        <v>316</v>
      </c>
      <c r="J72" s="388"/>
      <c r="K72" s="393"/>
      <c r="L72" s="232"/>
      <c r="M72" s="225"/>
      <c r="N72" s="233"/>
    </row>
    <row r="73" spans="1:14" s="219" customFormat="1" ht="12" customHeight="1">
      <c r="A73" s="187">
        <f t="shared" si="0"/>
        <v>62</v>
      </c>
      <c r="B73" s="405"/>
      <c r="C73" s="429" t="s">
        <v>972</v>
      </c>
      <c r="D73" s="430"/>
      <c r="E73" s="437"/>
      <c r="F73" s="390"/>
      <c r="G73" s="205"/>
      <c r="H73" s="197" t="s">
        <v>316</v>
      </c>
      <c r="I73" s="190" t="s">
        <v>316</v>
      </c>
      <c r="J73" s="388"/>
      <c r="K73" s="393"/>
      <c r="L73" s="232"/>
      <c r="M73" s="225"/>
      <c r="N73" s="233"/>
    </row>
    <row r="74" spans="1:14" s="219" customFormat="1" ht="12" customHeight="1">
      <c r="A74" s="187">
        <f t="shared" si="0"/>
        <v>63</v>
      </c>
      <c r="B74" s="405"/>
      <c r="C74" s="429" t="s">
        <v>973</v>
      </c>
      <c r="D74" s="430"/>
      <c r="E74" s="437"/>
      <c r="F74" s="390"/>
      <c r="G74" s="206"/>
      <c r="H74" s="197" t="s">
        <v>316</v>
      </c>
      <c r="I74" s="190" t="s">
        <v>316</v>
      </c>
      <c r="J74" s="388"/>
      <c r="K74" s="393"/>
      <c r="L74" s="232"/>
      <c r="M74" s="225"/>
      <c r="N74" s="233"/>
    </row>
    <row r="75" spans="1:14" s="219" customFormat="1" ht="12" customHeight="1">
      <c r="A75" s="187">
        <f t="shared" si="0"/>
        <v>64</v>
      </c>
      <c r="B75" s="405"/>
      <c r="C75" s="429" t="s">
        <v>974</v>
      </c>
      <c r="D75" s="430"/>
      <c r="E75" s="437"/>
      <c r="F75" s="390"/>
      <c r="G75" s="207"/>
      <c r="H75" s="197" t="s">
        <v>316</v>
      </c>
      <c r="I75" s="190" t="s">
        <v>316</v>
      </c>
      <c r="J75" s="388"/>
      <c r="K75" s="393"/>
      <c r="L75" s="232"/>
      <c r="M75" s="225"/>
      <c r="N75" s="233"/>
    </row>
    <row r="76" spans="1:14" s="219" customFormat="1" ht="12" customHeight="1">
      <c r="A76" s="187">
        <f t="shared" si="0"/>
        <v>65</v>
      </c>
      <c r="B76" s="405"/>
      <c r="C76" s="429" t="s">
        <v>975</v>
      </c>
      <c r="D76" s="430"/>
      <c r="E76" s="437" t="s">
        <v>965</v>
      </c>
      <c r="F76" s="390"/>
      <c r="G76" s="194"/>
      <c r="H76" s="197" t="s">
        <v>316</v>
      </c>
      <c r="I76" s="190" t="s">
        <v>316</v>
      </c>
      <c r="J76" s="388"/>
      <c r="K76" s="393"/>
      <c r="L76" s="232"/>
      <c r="M76" s="225"/>
      <c r="N76" s="233"/>
    </row>
    <row r="77" spans="1:14" s="219" customFormat="1" ht="12" customHeight="1">
      <c r="A77" s="187">
        <f t="shared" si="0"/>
        <v>66</v>
      </c>
      <c r="B77" s="405"/>
      <c r="C77" s="432"/>
      <c r="D77" s="430"/>
      <c r="E77" s="438" t="s">
        <v>976</v>
      </c>
      <c r="F77" s="195" t="s">
        <v>977</v>
      </c>
      <c r="G77" s="208"/>
      <c r="H77" s="197" t="s">
        <v>316</v>
      </c>
      <c r="I77" s="190" t="s">
        <v>316</v>
      </c>
      <c r="J77" s="388"/>
      <c r="K77" s="393"/>
      <c r="L77" s="232"/>
      <c r="M77" s="225"/>
      <c r="N77" s="233"/>
    </row>
    <row r="78" spans="1:14" s="219" customFormat="1" ht="12" customHeight="1">
      <c r="A78" s="187">
        <f t="shared" ref="A78:A141" si="1">A77+1</f>
        <v>67</v>
      </c>
      <c r="B78" s="405"/>
      <c r="C78" s="432"/>
      <c r="D78" s="430"/>
      <c r="E78" s="439"/>
      <c r="F78" s="195" t="s">
        <v>978</v>
      </c>
      <c r="G78" s="209"/>
      <c r="H78" s="197" t="s">
        <v>316</v>
      </c>
      <c r="I78" s="190" t="s">
        <v>316</v>
      </c>
      <c r="J78" s="388"/>
      <c r="K78" s="393"/>
      <c r="L78" s="232"/>
      <c r="M78" s="225"/>
      <c r="N78" s="233"/>
    </row>
    <row r="79" spans="1:14" s="219" customFormat="1" ht="12" customHeight="1">
      <c r="A79" s="187">
        <f t="shared" si="1"/>
        <v>68</v>
      </c>
      <c r="B79" s="405"/>
      <c r="C79" s="432"/>
      <c r="D79" s="430"/>
      <c r="E79" s="439"/>
      <c r="F79" s="195" t="s">
        <v>979</v>
      </c>
      <c r="G79" s="207"/>
      <c r="H79" s="197" t="s">
        <v>316</v>
      </c>
      <c r="I79" s="190" t="s">
        <v>316</v>
      </c>
      <c r="J79" s="388"/>
      <c r="K79" s="393"/>
      <c r="L79" s="232"/>
      <c r="M79" s="225"/>
      <c r="N79" s="233"/>
    </row>
    <row r="80" spans="1:14" s="219" customFormat="1" ht="12" customHeight="1">
      <c r="A80" s="187">
        <f t="shared" si="1"/>
        <v>69</v>
      </c>
      <c r="B80" s="405"/>
      <c r="C80" s="429" t="s">
        <v>980</v>
      </c>
      <c r="D80" s="430"/>
      <c r="E80" s="437" t="s">
        <v>977</v>
      </c>
      <c r="F80" s="390"/>
      <c r="G80" s="210"/>
      <c r="H80" s="197" t="s">
        <v>316</v>
      </c>
      <c r="I80" s="190" t="s">
        <v>316</v>
      </c>
      <c r="J80" s="388"/>
      <c r="K80" s="393"/>
      <c r="L80" s="232"/>
      <c r="M80" s="225"/>
      <c r="N80" s="233"/>
    </row>
    <row r="81" spans="1:14" s="219" customFormat="1" ht="12" customHeight="1">
      <c r="A81" s="187">
        <f t="shared" si="1"/>
        <v>70</v>
      </c>
      <c r="B81" s="405"/>
      <c r="C81" s="432"/>
      <c r="D81" s="430"/>
      <c r="E81" s="437" t="s">
        <v>978</v>
      </c>
      <c r="F81" s="390"/>
      <c r="G81" s="211"/>
      <c r="H81" s="197" t="s">
        <v>316</v>
      </c>
      <c r="I81" s="190" t="s">
        <v>316</v>
      </c>
      <c r="J81" s="388"/>
      <c r="K81" s="393"/>
      <c r="L81" s="232"/>
      <c r="M81" s="225"/>
      <c r="N81" s="233"/>
    </row>
    <row r="82" spans="1:14" s="219" customFormat="1" ht="12" customHeight="1">
      <c r="A82" s="187">
        <f t="shared" si="1"/>
        <v>71</v>
      </c>
      <c r="B82" s="405"/>
      <c r="C82" s="432"/>
      <c r="D82" s="430"/>
      <c r="E82" s="437" t="s">
        <v>979</v>
      </c>
      <c r="F82" s="390"/>
      <c r="G82" s="212"/>
      <c r="H82" s="197" t="s">
        <v>316</v>
      </c>
      <c r="I82" s="190" t="s">
        <v>316</v>
      </c>
      <c r="J82" s="388"/>
      <c r="K82" s="393"/>
      <c r="L82" s="232"/>
      <c r="M82" s="225"/>
      <c r="N82" s="233"/>
    </row>
    <row r="83" spans="1:14" s="219" customFormat="1" ht="12" customHeight="1">
      <c r="A83" s="187">
        <f t="shared" si="1"/>
        <v>72</v>
      </c>
      <c r="B83" s="405"/>
      <c r="C83" s="429" t="s">
        <v>981</v>
      </c>
      <c r="D83" s="430"/>
      <c r="E83" s="437" t="s">
        <v>982</v>
      </c>
      <c r="F83" s="390"/>
      <c r="G83" s="194"/>
      <c r="H83" s="197" t="s">
        <v>316</v>
      </c>
      <c r="I83" s="190" t="s">
        <v>316</v>
      </c>
      <c r="J83" s="388"/>
      <c r="K83" s="393"/>
      <c r="L83" s="232"/>
      <c r="M83" s="225"/>
      <c r="N83" s="233"/>
    </row>
    <row r="84" spans="1:14" s="219" customFormat="1" ht="12" customHeight="1">
      <c r="A84" s="187">
        <f t="shared" si="1"/>
        <v>73</v>
      </c>
      <c r="B84" s="405"/>
      <c r="C84" s="432"/>
      <c r="D84" s="430"/>
      <c r="E84" s="437" t="s">
        <v>983</v>
      </c>
      <c r="F84" s="390"/>
      <c r="G84" s="199"/>
      <c r="H84" s="197" t="s">
        <v>316</v>
      </c>
      <c r="I84" s="190" t="s">
        <v>316</v>
      </c>
      <c r="J84" s="388"/>
      <c r="K84" s="393"/>
      <c r="L84" s="232"/>
      <c r="M84" s="225"/>
      <c r="N84" s="233"/>
    </row>
    <row r="85" spans="1:14" s="219" customFormat="1" ht="12" customHeight="1">
      <c r="A85" s="187">
        <f t="shared" si="1"/>
        <v>74</v>
      </c>
      <c r="B85" s="405"/>
      <c r="C85" s="432"/>
      <c r="D85" s="430"/>
      <c r="E85" s="437" t="s">
        <v>984</v>
      </c>
      <c r="F85" s="390"/>
      <c r="G85" s="213"/>
      <c r="H85" s="197" t="s">
        <v>316</v>
      </c>
      <c r="I85" s="190" t="s">
        <v>316</v>
      </c>
      <c r="J85" s="388"/>
      <c r="K85" s="393"/>
      <c r="L85" s="232"/>
      <c r="M85" s="225"/>
      <c r="N85" s="233"/>
    </row>
    <row r="86" spans="1:14" s="219" customFormat="1" ht="12" customHeight="1">
      <c r="A86" s="187">
        <f t="shared" si="1"/>
        <v>75</v>
      </c>
      <c r="B86" s="405"/>
      <c r="C86" s="432"/>
      <c r="D86" s="430"/>
      <c r="E86" s="437" t="s">
        <v>985</v>
      </c>
      <c r="F86" s="390"/>
      <c r="G86" s="214"/>
      <c r="H86" s="197" t="s">
        <v>316</v>
      </c>
      <c r="I86" s="190" t="s">
        <v>316</v>
      </c>
      <c r="J86" s="388"/>
      <c r="K86" s="393"/>
      <c r="L86" s="232"/>
      <c r="M86" s="225"/>
      <c r="N86" s="233"/>
    </row>
    <row r="87" spans="1:14" s="219" customFormat="1" ht="12" customHeight="1">
      <c r="A87" s="187">
        <f t="shared" si="1"/>
        <v>76</v>
      </c>
      <c r="B87" s="405"/>
      <c r="C87" s="432"/>
      <c r="D87" s="430"/>
      <c r="E87" s="437" t="s">
        <v>986</v>
      </c>
      <c r="F87" s="390"/>
      <c r="G87" s="199"/>
      <c r="H87" s="197" t="s">
        <v>316</v>
      </c>
      <c r="I87" s="190" t="s">
        <v>316</v>
      </c>
      <c r="J87" s="388"/>
      <c r="K87" s="393"/>
      <c r="L87" s="232"/>
      <c r="M87" s="225"/>
      <c r="N87" s="233"/>
    </row>
    <row r="88" spans="1:14" s="219" customFormat="1" ht="12" customHeight="1">
      <c r="A88" s="187">
        <f t="shared" si="1"/>
        <v>77</v>
      </c>
      <c r="B88" s="405"/>
      <c r="C88" s="429" t="s">
        <v>987</v>
      </c>
      <c r="D88" s="430"/>
      <c r="E88" s="437" t="s">
        <v>965</v>
      </c>
      <c r="F88" s="390"/>
      <c r="G88" s="194"/>
      <c r="H88" s="197" t="s">
        <v>316</v>
      </c>
      <c r="I88" s="190" t="s">
        <v>316</v>
      </c>
      <c r="J88" s="388"/>
      <c r="K88" s="459"/>
      <c r="L88" s="232"/>
      <c r="M88" s="225"/>
      <c r="N88" s="233"/>
    </row>
    <row r="89" spans="1:14" s="219" customFormat="1" ht="12" customHeight="1">
      <c r="A89" s="187">
        <f t="shared" si="1"/>
        <v>78</v>
      </c>
      <c r="B89" s="405"/>
      <c r="C89" s="432"/>
      <c r="D89" s="430"/>
      <c r="E89" s="437" t="s">
        <v>988</v>
      </c>
      <c r="F89" s="390"/>
      <c r="G89" s="199"/>
      <c r="H89" s="197" t="s">
        <v>316</v>
      </c>
      <c r="I89" s="190" t="s">
        <v>316</v>
      </c>
      <c r="J89" s="388"/>
      <c r="K89" s="393"/>
      <c r="L89" s="232"/>
      <c r="M89" s="225"/>
      <c r="N89" s="233"/>
    </row>
    <row r="90" spans="1:14" s="219" customFormat="1" ht="12" customHeight="1">
      <c r="A90" s="187">
        <f t="shared" si="1"/>
        <v>79</v>
      </c>
      <c r="B90" s="405"/>
      <c r="C90" s="432"/>
      <c r="D90" s="430"/>
      <c r="E90" s="437" t="s">
        <v>989</v>
      </c>
      <c r="F90" s="390"/>
      <c r="G90" s="202"/>
      <c r="H90" s="197" t="s">
        <v>316</v>
      </c>
      <c r="I90" s="190" t="s">
        <v>316</v>
      </c>
      <c r="J90" s="388"/>
      <c r="K90" s="393"/>
      <c r="L90" s="232"/>
      <c r="M90" s="225"/>
      <c r="N90" s="233"/>
    </row>
    <row r="91" spans="1:14" s="219" customFormat="1" ht="12" customHeight="1">
      <c r="A91" s="187">
        <f t="shared" si="1"/>
        <v>80</v>
      </c>
      <c r="B91" s="405"/>
      <c r="C91" s="432"/>
      <c r="D91" s="430"/>
      <c r="E91" s="437" t="s">
        <v>990</v>
      </c>
      <c r="F91" s="390"/>
      <c r="G91" s="214"/>
      <c r="H91" s="197" t="s">
        <v>316</v>
      </c>
      <c r="I91" s="190" t="s">
        <v>316</v>
      </c>
      <c r="J91" s="388"/>
      <c r="K91" s="393"/>
      <c r="L91" s="232"/>
      <c r="M91" s="225"/>
      <c r="N91" s="233"/>
    </row>
    <row r="92" spans="1:14" s="219" customFormat="1" ht="12" customHeight="1">
      <c r="A92" s="187">
        <f t="shared" si="1"/>
        <v>81</v>
      </c>
      <c r="B92" s="405"/>
      <c r="C92" s="432"/>
      <c r="D92" s="430"/>
      <c r="E92" s="437" t="s">
        <v>986</v>
      </c>
      <c r="F92" s="390"/>
      <c r="G92" s="199"/>
      <c r="H92" s="197" t="s">
        <v>316</v>
      </c>
      <c r="I92" s="190" t="s">
        <v>316</v>
      </c>
      <c r="J92" s="388"/>
      <c r="K92" s="393"/>
      <c r="L92" s="232"/>
      <c r="M92" s="225"/>
      <c r="N92" s="233"/>
    </row>
    <row r="93" spans="1:14" s="219" customFormat="1" ht="12" customHeight="1">
      <c r="A93" s="187">
        <f t="shared" si="1"/>
        <v>82</v>
      </c>
      <c r="B93" s="405"/>
      <c r="C93" s="429" t="s">
        <v>991</v>
      </c>
      <c r="D93" s="430"/>
      <c r="E93" s="437"/>
      <c r="F93" s="390"/>
      <c r="G93" s="194"/>
      <c r="H93" s="197" t="s">
        <v>316</v>
      </c>
      <c r="I93" s="190" t="s">
        <v>316</v>
      </c>
      <c r="J93" s="388"/>
      <c r="K93" s="393"/>
      <c r="L93" s="232"/>
      <c r="M93" s="225"/>
      <c r="N93" s="233"/>
    </row>
    <row r="94" spans="1:14" s="219" customFormat="1" ht="12" customHeight="1">
      <c r="A94" s="187">
        <f t="shared" si="1"/>
        <v>83</v>
      </c>
      <c r="B94" s="405"/>
      <c r="C94" s="429" t="s">
        <v>992</v>
      </c>
      <c r="D94" s="430"/>
      <c r="E94" s="437"/>
      <c r="F94" s="390"/>
      <c r="G94" s="194"/>
      <c r="H94" s="197" t="s">
        <v>316</v>
      </c>
      <c r="I94" s="190" t="s">
        <v>316</v>
      </c>
      <c r="J94" s="388"/>
      <c r="K94" s="393"/>
      <c r="L94" s="232"/>
      <c r="M94" s="225"/>
      <c r="N94" s="233"/>
    </row>
    <row r="95" spans="1:14" s="219" customFormat="1" ht="12" customHeight="1">
      <c r="A95" s="187">
        <f t="shared" si="1"/>
        <v>84</v>
      </c>
      <c r="B95" s="405"/>
      <c r="C95" s="429" t="s">
        <v>993</v>
      </c>
      <c r="D95" s="430"/>
      <c r="E95" s="437" t="s">
        <v>994</v>
      </c>
      <c r="F95" s="390"/>
      <c r="G95" s="201"/>
      <c r="H95" s="197" t="s">
        <v>316</v>
      </c>
      <c r="I95" s="190" t="s">
        <v>316</v>
      </c>
      <c r="J95" s="388"/>
      <c r="K95" s="393"/>
      <c r="L95" s="232"/>
      <c r="M95" s="225"/>
      <c r="N95" s="233"/>
    </row>
    <row r="96" spans="1:14" s="219" customFormat="1" ht="12" customHeight="1">
      <c r="A96" s="187">
        <f t="shared" si="1"/>
        <v>85</v>
      </c>
      <c r="B96" s="405"/>
      <c r="C96" s="432"/>
      <c r="D96" s="430"/>
      <c r="E96" s="437" t="s">
        <v>995</v>
      </c>
      <c r="F96" s="390"/>
      <c r="G96" s="200"/>
      <c r="H96" s="197" t="s">
        <v>316</v>
      </c>
      <c r="I96" s="190" t="s">
        <v>316</v>
      </c>
      <c r="J96" s="388"/>
      <c r="K96" s="393"/>
      <c r="L96" s="232"/>
      <c r="M96" s="225"/>
      <c r="N96" s="233"/>
    </row>
    <row r="97" spans="1:14" s="219" customFormat="1" ht="12" customHeight="1">
      <c r="A97" s="187">
        <f t="shared" si="1"/>
        <v>86</v>
      </c>
      <c r="B97" s="405"/>
      <c r="C97" s="432"/>
      <c r="D97" s="430"/>
      <c r="E97" s="437" t="s">
        <v>996</v>
      </c>
      <c r="F97" s="390"/>
      <c r="G97" s="200"/>
      <c r="H97" s="197" t="s">
        <v>316</v>
      </c>
      <c r="I97" s="190" t="s">
        <v>316</v>
      </c>
      <c r="J97" s="388"/>
      <c r="K97" s="393"/>
      <c r="L97" s="232"/>
      <c r="M97" s="225"/>
      <c r="N97" s="233"/>
    </row>
    <row r="98" spans="1:14" s="219" customFormat="1" ht="12" customHeight="1">
      <c r="A98" s="187">
        <f t="shared" si="1"/>
        <v>87</v>
      </c>
      <c r="B98" s="405"/>
      <c r="C98" s="432"/>
      <c r="D98" s="430"/>
      <c r="E98" s="437" t="s">
        <v>997</v>
      </c>
      <c r="F98" s="390"/>
      <c r="G98" s="194"/>
      <c r="H98" s="197" t="s">
        <v>316</v>
      </c>
      <c r="I98" s="190" t="s">
        <v>316</v>
      </c>
      <c r="J98" s="388"/>
      <c r="K98" s="393"/>
      <c r="L98" s="232"/>
      <c r="M98" s="225"/>
      <c r="N98" s="233"/>
    </row>
    <row r="99" spans="1:14" s="219" customFormat="1" ht="12" customHeight="1">
      <c r="A99" s="187">
        <f t="shared" si="1"/>
        <v>88</v>
      </c>
      <c r="B99" s="405"/>
      <c r="C99" s="432"/>
      <c r="D99" s="430"/>
      <c r="E99" s="437" t="s">
        <v>998</v>
      </c>
      <c r="F99" s="390"/>
      <c r="G99" s="215"/>
      <c r="H99" s="197" t="s">
        <v>316</v>
      </c>
      <c r="I99" s="190" t="s">
        <v>316</v>
      </c>
      <c r="J99" s="388"/>
      <c r="K99" s="393"/>
      <c r="L99" s="232"/>
      <c r="M99" s="225"/>
      <c r="N99" s="233"/>
    </row>
    <row r="100" spans="1:14" s="219" customFormat="1" ht="12" customHeight="1">
      <c r="A100" s="187">
        <f t="shared" si="1"/>
        <v>89</v>
      </c>
      <c r="B100" s="189"/>
      <c r="C100" s="429" t="s">
        <v>999</v>
      </c>
      <c r="D100" s="430"/>
      <c r="E100" s="437" t="s">
        <v>1000</v>
      </c>
      <c r="F100" s="390"/>
      <c r="G100" s="194"/>
      <c r="H100" s="197" t="s">
        <v>316</v>
      </c>
      <c r="I100" s="190" t="s">
        <v>316</v>
      </c>
      <c r="J100" s="388"/>
      <c r="K100" s="393"/>
      <c r="L100" s="232"/>
      <c r="M100" s="225"/>
      <c r="N100" s="233"/>
    </row>
    <row r="101" spans="1:14" s="219" customFormat="1" ht="27.75" customHeight="1">
      <c r="A101" s="187">
        <f t="shared" si="1"/>
        <v>90</v>
      </c>
      <c r="B101" s="425" t="s">
        <v>1001</v>
      </c>
      <c r="C101" s="431" t="s">
        <v>941</v>
      </c>
      <c r="D101" s="430"/>
      <c r="E101" s="388" t="s">
        <v>1002</v>
      </c>
      <c r="F101" s="389"/>
      <c r="G101" s="390"/>
      <c r="H101" s="190" t="s">
        <v>316</v>
      </c>
      <c r="I101" s="190" t="s">
        <v>316</v>
      </c>
      <c r="J101" s="388"/>
      <c r="K101" s="459"/>
      <c r="L101" s="232"/>
      <c r="M101" s="225"/>
      <c r="N101" s="233"/>
    </row>
    <row r="102" spans="1:14" s="219" customFormat="1" ht="12" customHeight="1">
      <c r="A102" s="187">
        <f t="shared" si="1"/>
        <v>91</v>
      </c>
      <c r="B102" s="405"/>
      <c r="C102" s="432"/>
      <c r="D102" s="430"/>
      <c r="E102" s="388" t="s">
        <v>1003</v>
      </c>
      <c r="F102" s="389"/>
      <c r="G102" s="390"/>
      <c r="H102" s="190" t="s">
        <v>316</v>
      </c>
      <c r="I102" s="190" t="s">
        <v>316</v>
      </c>
      <c r="J102" s="388"/>
      <c r="K102" s="393"/>
      <c r="L102" s="232"/>
      <c r="M102" s="225"/>
      <c r="N102" s="233"/>
    </row>
    <row r="103" spans="1:14" s="219" customFormat="1" ht="13.5" customHeight="1">
      <c r="A103" s="187">
        <f t="shared" si="1"/>
        <v>92</v>
      </c>
      <c r="B103" s="405"/>
      <c r="C103" s="432"/>
      <c r="D103" s="430"/>
      <c r="E103" s="388" t="s">
        <v>1004</v>
      </c>
      <c r="F103" s="389"/>
      <c r="G103" s="390"/>
      <c r="H103" s="190" t="s">
        <v>316</v>
      </c>
      <c r="I103" s="190" t="s">
        <v>316</v>
      </c>
      <c r="J103" s="388"/>
      <c r="K103" s="393"/>
      <c r="L103" s="232"/>
      <c r="M103" s="225"/>
      <c r="N103" s="233"/>
    </row>
    <row r="104" spans="1:14" s="219" customFormat="1" ht="13.5" customHeight="1">
      <c r="A104" s="187">
        <f t="shared" si="1"/>
        <v>93</v>
      </c>
      <c r="B104" s="406"/>
      <c r="C104" s="431" t="s">
        <v>1005</v>
      </c>
      <c r="D104" s="430"/>
      <c r="E104" s="388" t="s">
        <v>1006</v>
      </c>
      <c r="F104" s="389"/>
      <c r="G104" s="390"/>
      <c r="H104" s="190" t="s">
        <v>316</v>
      </c>
      <c r="I104" s="190" t="s">
        <v>316</v>
      </c>
      <c r="J104" s="388"/>
      <c r="K104" s="393"/>
      <c r="L104" s="232"/>
      <c r="M104" s="225"/>
      <c r="N104" s="233"/>
    </row>
    <row r="105" spans="1:14" s="219" customFormat="1" ht="23.25" customHeight="1">
      <c r="A105" s="187">
        <f t="shared" si="1"/>
        <v>94</v>
      </c>
      <c r="B105" s="425" t="s">
        <v>1007</v>
      </c>
      <c r="C105" s="431" t="s">
        <v>1008</v>
      </c>
      <c r="D105" s="430"/>
      <c r="E105" s="388" t="s">
        <v>1009</v>
      </c>
      <c r="F105" s="389"/>
      <c r="G105" s="390"/>
      <c r="H105" s="190" t="s">
        <v>316</v>
      </c>
      <c r="I105" s="190" t="s">
        <v>316</v>
      </c>
      <c r="J105" s="388"/>
      <c r="K105" s="393"/>
      <c r="L105" s="232"/>
      <c r="M105" s="225"/>
      <c r="N105" s="233"/>
    </row>
    <row r="106" spans="1:14" s="219" customFormat="1" ht="23.25" customHeight="1">
      <c r="A106" s="187">
        <f t="shared" si="1"/>
        <v>95</v>
      </c>
      <c r="B106" s="405"/>
      <c r="C106" s="432"/>
      <c r="D106" s="430"/>
      <c r="E106" s="388" t="s">
        <v>1010</v>
      </c>
      <c r="F106" s="389"/>
      <c r="G106" s="390"/>
      <c r="H106" s="190" t="s">
        <v>316</v>
      </c>
      <c r="I106" s="190" t="s">
        <v>316</v>
      </c>
      <c r="J106" s="388"/>
      <c r="K106" s="393"/>
      <c r="L106" s="232"/>
      <c r="M106" s="225"/>
      <c r="N106" s="233"/>
    </row>
    <row r="107" spans="1:14" s="219" customFormat="1" ht="11.25" customHeight="1">
      <c r="A107" s="187">
        <f t="shared" si="1"/>
        <v>96</v>
      </c>
      <c r="B107" s="405"/>
      <c r="C107" s="431" t="s">
        <v>1011</v>
      </c>
      <c r="D107" s="430"/>
      <c r="E107" s="388" t="s">
        <v>1012</v>
      </c>
      <c r="F107" s="389"/>
      <c r="G107" s="390"/>
      <c r="H107" s="190" t="s">
        <v>316</v>
      </c>
      <c r="I107" s="190" t="s">
        <v>316</v>
      </c>
      <c r="J107" s="388"/>
      <c r="K107" s="393"/>
      <c r="L107" s="232"/>
      <c r="M107" s="225"/>
      <c r="N107" s="233"/>
    </row>
    <row r="108" spans="1:14" s="219" customFormat="1" ht="22.5" customHeight="1">
      <c r="A108" s="187">
        <f t="shared" si="1"/>
        <v>97</v>
      </c>
      <c r="B108" s="406"/>
      <c r="C108" s="432"/>
      <c r="D108" s="430"/>
      <c r="E108" s="388" t="s">
        <v>1013</v>
      </c>
      <c r="F108" s="389"/>
      <c r="G108" s="390"/>
      <c r="H108" s="190" t="s">
        <v>316</v>
      </c>
      <c r="I108" s="190" t="s">
        <v>316</v>
      </c>
      <c r="J108" s="388"/>
      <c r="K108" s="393"/>
      <c r="L108" s="232"/>
      <c r="M108" s="225"/>
      <c r="N108" s="233"/>
    </row>
    <row r="109" spans="1:14" s="220" customFormat="1" ht="12" customHeight="1">
      <c r="A109" s="187">
        <f t="shared" si="1"/>
        <v>98</v>
      </c>
      <c r="B109" s="425" t="s">
        <v>1014</v>
      </c>
      <c r="C109" s="457" t="s">
        <v>1015</v>
      </c>
      <c r="D109" s="430"/>
      <c r="E109" s="394" t="s">
        <v>1016</v>
      </c>
      <c r="F109" s="389"/>
      <c r="G109" s="390"/>
      <c r="H109" s="190" t="s">
        <v>316</v>
      </c>
      <c r="I109" s="190" t="s">
        <v>316</v>
      </c>
      <c r="J109" s="388"/>
      <c r="K109" s="393"/>
      <c r="L109" s="232"/>
      <c r="M109" s="225"/>
      <c r="N109" s="233"/>
    </row>
    <row r="110" spans="1:14" s="219" customFormat="1" ht="12" customHeight="1">
      <c r="A110" s="187">
        <f t="shared" si="1"/>
        <v>99</v>
      </c>
      <c r="B110" s="405"/>
      <c r="C110" s="432"/>
      <c r="D110" s="430"/>
      <c r="E110" s="388" t="s">
        <v>1017</v>
      </c>
      <c r="F110" s="389"/>
      <c r="G110" s="390"/>
      <c r="H110" s="190" t="s">
        <v>316</v>
      </c>
      <c r="I110" s="190" t="s">
        <v>316</v>
      </c>
      <c r="J110" s="388"/>
      <c r="K110" s="393"/>
      <c r="L110" s="232"/>
      <c r="M110" s="225"/>
      <c r="N110" s="233"/>
    </row>
    <row r="111" spans="1:14" s="219" customFormat="1" ht="11.25" customHeight="1">
      <c r="A111" s="187">
        <f t="shared" si="1"/>
        <v>100</v>
      </c>
      <c r="B111" s="405"/>
      <c r="C111" s="457" t="s">
        <v>1018</v>
      </c>
      <c r="D111" s="430"/>
      <c r="E111" s="394" t="s">
        <v>1019</v>
      </c>
      <c r="F111" s="389"/>
      <c r="G111" s="390"/>
      <c r="H111" s="190" t="s">
        <v>316</v>
      </c>
      <c r="I111" s="190" t="s">
        <v>316</v>
      </c>
      <c r="J111" s="388"/>
      <c r="K111" s="393"/>
      <c r="L111" s="232"/>
      <c r="M111" s="225"/>
      <c r="N111" s="233"/>
    </row>
    <row r="112" spans="1:14" s="219" customFormat="1" ht="22.5" customHeight="1">
      <c r="A112" s="187">
        <f t="shared" si="1"/>
        <v>101</v>
      </c>
      <c r="B112" s="405"/>
      <c r="C112" s="457" t="s">
        <v>1020</v>
      </c>
      <c r="D112" s="430"/>
      <c r="E112" s="394" t="s">
        <v>1021</v>
      </c>
      <c r="F112" s="389"/>
      <c r="G112" s="390"/>
      <c r="H112" s="190" t="s">
        <v>893</v>
      </c>
      <c r="I112" s="190" t="s">
        <v>316</v>
      </c>
      <c r="J112" s="388"/>
      <c r="K112" s="393"/>
      <c r="L112" s="232"/>
      <c r="M112" s="225"/>
      <c r="N112" s="233"/>
    </row>
    <row r="113" spans="1:14" s="219" customFormat="1" ht="39.75" customHeight="1">
      <c r="A113" s="187">
        <f t="shared" si="1"/>
        <v>102</v>
      </c>
      <c r="B113" s="405"/>
      <c r="C113" s="457" t="s">
        <v>1022</v>
      </c>
      <c r="D113" s="430"/>
      <c r="E113" s="394" t="s">
        <v>1023</v>
      </c>
      <c r="F113" s="389"/>
      <c r="G113" s="390"/>
      <c r="H113" s="190" t="s">
        <v>316</v>
      </c>
      <c r="I113" s="190" t="s">
        <v>316</v>
      </c>
      <c r="J113" s="388"/>
      <c r="K113" s="393"/>
      <c r="L113" s="232"/>
      <c r="M113" s="225"/>
      <c r="N113" s="233"/>
    </row>
    <row r="114" spans="1:14" s="219" customFormat="1" ht="36" customHeight="1">
      <c r="A114" s="187">
        <f t="shared" si="1"/>
        <v>103</v>
      </c>
      <c r="B114" s="406"/>
      <c r="C114" s="394" t="s">
        <v>1024</v>
      </c>
      <c r="D114" s="390"/>
      <c r="E114" s="394" t="s">
        <v>1025</v>
      </c>
      <c r="F114" s="389"/>
      <c r="G114" s="390"/>
      <c r="H114" s="190" t="s">
        <v>316</v>
      </c>
      <c r="I114" s="190" t="s">
        <v>316</v>
      </c>
      <c r="J114" s="388"/>
      <c r="K114" s="393"/>
      <c r="L114" s="232"/>
      <c r="M114" s="225"/>
      <c r="N114" s="233"/>
    </row>
    <row r="115" spans="1:14" s="220" customFormat="1">
      <c r="A115" s="187">
        <f t="shared" si="1"/>
        <v>104</v>
      </c>
      <c r="B115" s="405" t="s">
        <v>1026</v>
      </c>
      <c r="C115" s="388" t="s">
        <v>1027</v>
      </c>
      <c r="D115" s="424"/>
      <c r="E115" s="388" t="s">
        <v>1028</v>
      </c>
      <c r="F115" s="389"/>
      <c r="G115" s="390"/>
      <c r="H115" s="190" t="s">
        <v>316</v>
      </c>
      <c r="I115" s="190" t="s">
        <v>316</v>
      </c>
      <c r="J115" s="388"/>
      <c r="K115" s="393"/>
      <c r="L115" s="232"/>
      <c r="M115" s="225"/>
      <c r="N115" s="233"/>
    </row>
    <row r="116" spans="1:14" s="220" customFormat="1" ht="11.25" customHeight="1">
      <c r="A116" s="187">
        <f t="shared" si="1"/>
        <v>105</v>
      </c>
      <c r="B116" s="405"/>
      <c r="C116" s="388" t="s">
        <v>1029</v>
      </c>
      <c r="D116" s="390"/>
      <c r="E116" s="388" t="s">
        <v>1030</v>
      </c>
      <c r="F116" s="389"/>
      <c r="G116" s="390"/>
      <c r="H116" s="190" t="s">
        <v>316</v>
      </c>
      <c r="I116" s="190" t="s">
        <v>316</v>
      </c>
      <c r="J116" s="388"/>
      <c r="K116" s="393"/>
      <c r="L116" s="232"/>
      <c r="M116" s="225"/>
      <c r="N116" s="233"/>
    </row>
    <row r="117" spans="1:14" s="220" customFormat="1">
      <c r="A117" s="187">
        <f t="shared" si="1"/>
        <v>106</v>
      </c>
      <c r="B117" s="405"/>
      <c r="C117" s="388" t="s">
        <v>1031</v>
      </c>
      <c r="D117" s="390"/>
      <c r="E117" s="388" t="s">
        <v>1032</v>
      </c>
      <c r="F117" s="389"/>
      <c r="G117" s="390"/>
      <c r="H117" s="190" t="s">
        <v>893</v>
      </c>
      <c r="I117" s="190" t="s">
        <v>316</v>
      </c>
      <c r="J117" s="388"/>
      <c r="K117" s="393"/>
      <c r="L117" s="232"/>
      <c r="M117" s="225"/>
      <c r="N117" s="233"/>
    </row>
    <row r="118" spans="1:14" s="220" customFormat="1" ht="12" customHeight="1">
      <c r="A118" s="187">
        <f t="shared" si="1"/>
        <v>107</v>
      </c>
      <c r="B118" s="405"/>
      <c r="C118" s="433"/>
      <c r="D118" s="390"/>
      <c r="E118" s="388" t="s">
        <v>1033</v>
      </c>
      <c r="F118" s="389"/>
      <c r="G118" s="390"/>
      <c r="H118" s="190" t="s">
        <v>893</v>
      </c>
      <c r="I118" s="190" t="s">
        <v>316</v>
      </c>
      <c r="J118" s="388"/>
      <c r="K118" s="393"/>
      <c r="L118" s="232"/>
      <c r="M118" s="225"/>
      <c r="N118" s="233"/>
    </row>
    <row r="119" spans="1:14" s="220" customFormat="1" ht="12" customHeight="1">
      <c r="A119" s="187">
        <f t="shared" si="1"/>
        <v>108</v>
      </c>
      <c r="B119" s="405"/>
      <c r="C119" s="433"/>
      <c r="D119" s="390"/>
      <c r="E119" s="388" t="s">
        <v>1034</v>
      </c>
      <c r="F119" s="389"/>
      <c r="G119" s="390"/>
      <c r="H119" s="190" t="s">
        <v>893</v>
      </c>
      <c r="I119" s="190" t="s">
        <v>316</v>
      </c>
      <c r="J119" s="388"/>
      <c r="K119" s="393"/>
      <c r="L119" s="232"/>
      <c r="M119" s="225"/>
      <c r="N119" s="233"/>
    </row>
    <row r="120" spans="1:14" s="220" customFormat="1" ht="12" customHeight="1">
      <c r="A120" s="187">
        <f t="shared" si="1"/>
        <v>109</v>
      </c>
      <c r="B120" s="405"/>
      <c r="C120" s="433"/>
      <c r="D120" s="390"/>
      <c r="E120" s="388" t="s">
        <v>1035</v>
      </c>
      <c r="F120" s="389"/>
      <c r="G120" s="390"/>
      <c r="H120" s="190" t="s">
        <v>893</v>
      </c>
      <c r="I120" s="190" t="s">
        <v>316</v>
      </c>
      <c r="J120" s="388"/>
      <c r="K120" s="393"/>
      <c r="L120" s="232"/>
      <c r="M120" s="225"/>
      <c r="N120" s="233"/>
    </row>
    <row r="121" spans="1:14" s="220" customFormat="1" ht="11.25" customHeight="1">
      <c r="A121" s="187">
        <f t="shared" si="1"/>
        <v>110</v>
      </c>
      <c r="B121" s="405"/>
      <c r="C121" s="388" t="s">
        <v>950</v>
      </c>
      <c r="D121" s="424"/>
      <c r="E121" s="388" t="s">
        <v>1036</v>
      </c>
      <c r="F121" s="389"/>
      <c r="G121" s="390"/>
      <c r="H121" s="190" t="s">
        <v>893</v>
      </c>
      <c r="I121" s="190" t="s">
        <v>316</v>
      </c>
      <c r="J121" s="460"/>
      <c r="K121" s="393"/>
      <c r="L121" s="232"/>
      <c r="M121" s="225"/>
      <c r="N121" s="233"/>
    </row>
    <row r="122" spans="1:14" s="220" customFormat="1" ht="27.75" customHeight="1">
      <c r="A122" s="187">
        <f t="shared" si="1"/>
        <v>111</v>
      </c>
      <c r="B122" s="405"/>
      <c r="C122" s="388" t="s">
        <v>1037</v>
      </c>
      <c r="D122" s="390"/>
      <c r="E122" s="388" t="s">
        <v>1038</v>
      </c>
      <c r="F122" s="389"/>
      <c r="G122" s="390"/>
      <c r="H122" s="190" t="s">
        <v>316</v>
      </c>
      <c r="I122" s="190" t="s">
        <v>316</v>
      </c>
      <c r="J122" s="388" t="s">
        <v>1039</v>
      </c>
      <c r="K122" s="393"/>
      <c r="L122" s="232"/>
      <c r="M122" s="225"/>
      <c r="N122" s="233"/>
    </row>
    <row r="123" spans="1:14" s="222" customFormat="1" ht="11.25" customHeight="1">
      <c r="A123" s="187">
        <f t="shared" si="1"/>
        <v>112</v>
      </c>
      <c r="B123" s="425" t="s">
        <v>1040</v>
      </c>
      <c r="C123" s="426" t="s">
        <v>1041</v>
      </c>
      <c r="D123" s="447"/>
      <c r="E123" s="447"/>
      <c r="F123" s="447"/>
      <c r="G123" s="448"/>
      <c r="H123" s="216"/>
      <c r="I123" s="216"/>
      <c r="J123" s="458" t="s">
        <v>1042</v>
      </c>
      <c r="K123" s="393"/>
      <c r="L123" s="236"/>
      <c r="M123" s="227"/>
      <c r="N123" s="237"/>
    </row>
    <row r="124" spans="1:14" s="220" customFormat="1">
      <c r="A124" s="187">
        <f t="shared" si="1"/>
        <v>113</v>
      </c>
      <c r="B124" s="405"/>
      <c r="C124" s="388" t="s">
        <v>1043</v>
      </c>
      <c r="D124" s="424"/>
      <c r="E124" s="388" t="s">
        <v>1044</v>
      </c>
      <c r="F124" s="389"/>
      <c r="G124" s="390"/>
      <c r="H124" s="190" t="s">
        <v>316</v>
      </c>
      <c r="I124" s="190" t="s">
        <v>316</v>
      </c>
      <c r="J124" s="388"/>
      <c r="K124" s="393"/>
      <c r="L124" s="232"/>
      <c r="M124" s="225"/>
      <c r="N124" s="233"/>
    </row>
    <row r="125" spans="1:14" s="220" customFormat="1">
      <c r="A125" s="187">
        <f t="shared" si="1"/>
        <v>114</v>
      </c>
      <c r="B125" s="405"/>
      <c r="C125" s="388" t="s">
        <v>1045</v>
      </c>
      <c r="D125" s="390"/>
      <c r="E125" s="388" t="s">
        <v>1046</v>
      </c>
      <c r="F125" s="389"/>
      <c r="G125" s="390"/>
      <c r="H125" s="190" t="s">
        <v>316</v>
      </c>
      <c r="I125" s="190" t="s">
        <v>316</v>
      </c>
      <c r="J125" s="388"/>
      <c r="K125" s="393"/>
      <c r="L125" s="232"/>
      <c r="M125" s="225"/>
      <c r="N125" s="233"/>
    </row>
    <row r="126" spans="1:14" s="220" customFormat="1" ht="26.25" customHeight="1">
      <c r="A126" s="187">
        <f t="shared" si="1"/>
        <v>115</v>
      </c>
      <c r="B126" s="405"/>
      <c r="C126" s="388" t="s">
        <v>1047</v>
      </c>
      <c r="D126" s="390"/>
      <c r="E126" s="388" t="s">
        <v>1048</v>
      </c>
      <c r="F126" s="389"/>
      <c r="G126" s="390"/>
      <c r="H126" s="190" t="s">
        <v>893</v>
      </c>
      <c r="I126" s="190" t="s">
        <v>316</v>
      </c>
      <c r="J126" s="388"/>
      <c r="K126" s="393"/>
      <c r="L126" s="232"/>
      <c r="M126" s="225"/>
      <c r="N126" s="233"/>
    </row>
    <row r="127" spans="1:14" s="220" customFormat="1" ht="12" customHeight="1">
      <c r="A127" s="187">
        <f t="shared" si="1"/>
        <v>116</v>
      </c>
      <c r="B127" s="405"/>
      <c r="C127" s="388" t="s">
        <v>1049</v>
      </c>
      <c r="D127" s="390"/>
      <c r="E127" s="388" t="s">
        <v>1050</v>
      </c>
      <c r="F127" s="389"/>
      <c r="G127" s="390"/>
      <c r="H127" s="434" t="s">
        <v>1051</v>
      </c>
      <c r="I127" s="434" t="s">
        <v>1052</v>
      </c>
      <c r="J127" s="388" t="s">
        <v>1053</v>
      </c>
      <c r="K127" s="393"/>
      <c r="L127" s="232"/>
      <c r="M127" s="225"/>
      <c r="N127" s="233"/>
    </row>
    <row r="128" spans="1:14" s="220" customFormat="1" ht="12" customHeight="1">
      <c r="A128" s="187">
        <f t="shared" si="1"/>
        <v>117</v>
      </c>
      <c r="B128" s="405"/>
      <c r="C128" s="433"/>
      <c r="D128" s="390"/>
      <c r="E128" s="388" t="s">
        <v>1054</v>
      </c>
      <c r="F128" s="389"/>
      <c r="G128" s="390"/>
      <c r="H128" s="435"/>
      <c r="I128" s="435"/>
      <c r="J128" s="388"/>
      <c r="K128" s="393"/>
      <c r="L128" s="232"/>
      <c r="M128" s="225"/>
      <c r="N128" s="233"/>
    </row>
    <row r="129" spans="1:14" s="220" customFormat="1" ht="12" customHeight="1">
      <c r="A129" s="187">
        <f t="shared" si="1"/>
        <v>118</v>
      </c>
      <c r="B129" s="405"/>
      <c r="C129" s="433"/>
      <c r="D129" s="390"/>
      <c r="E129" s="388" t="s">
        <v>1055</v>
      </c>
      <c r="F129" s="389"/>
      <c r="G129" s="390"/>
      <c r="H129" s="435"/>
      <c r="I129" s="435"/>
      <c r="J129" s="388"/>
      <c r="K129" s="393"/>
      <c r="L129" s="232"/>
      <c r="M129" s="225"/>
      <c r="N129" s="233"/>
    </row>
    <row r="130" spans="1:14" s="220" customFormat="1" ht="12" customHeight="1">
      <c r="A130" s="187">
        <f t="shared" si="1"/>
        <v>119</v>
      </c>
      <c r="B130" s="405"/>
      <c r="C130" s="433"/>
      <c r="D130" s="390"/>
      <c r="E130" s="388" t="s">
        <v>1046</v>
      </c>
      <c r="F130" s="389"/>
      <c r="G130" s="390"/>
      <c r="H130" s="435"/>
      <c r="I130" s="435"/>
      <c r="J130" s="388"/>
      <c r="K130" s="393"/>
      <c r="L130" s="232"/>
      <c r="M130" s="225"/>
      <c r="N130" s="233"/>
    </row>
    <row r="131" spans="1:14" s="220" customFormat="1" ht="12" customHeight="1">
      <c r="A131" s="187">
        <f t="shared" si="1"/>
        <v>120</v>
      </c>
      <c r="B131" s="405"/>
      <c r="C131" s="433"/>
      <c r="D131" s="390"/>
      <c r="E131" s="388" t="s">
        <v>1056</v>
      </c>
      <c r="F131" s="389"/>
      <c r="G131" s="390"/>
      <c r="H131" s="435"/>
      <c r="I131" s="435"/>
      <c r="J131" s="388"/>
      <c r="K131" s="393"/>
      <c r="L131" s="232"/>
      <c r="M131" s="225"/>
      <c r="N131" s="233"/>
    </row>
    <row r="132" spans="1:14" s="220" customFormat="1" ht="12" customHeight="1">
      <c r="A132" s="187">
        <f t="shared" si="1"/>
        <v>121</v>
      </c>
      <c r="B132" s="405"/>
      <c r="C132" s="433"/>
      <c r="D132" s="390"/>
      <c r="E132" s="388" t="s">
        <v>1057</v>
      </c>
      <c r="F132" s="389"/>
      <c r="G132" s="390"/>
      <c r="H132" s="436"/>
      <c r="I132" s="436"/>
      <c r="J132" s="388"/>
      <c r="K132" s="393"/>
      <c r="L132" s="232"/>
      <c r="M132" s="225"/>
      <c r="N132" s="233"/>
    </row>
    <row r="133" spans="1:14" s="220" customFormat="1" ht="11.25" customHeight="1">
      <c r="A133" s="187">
        <f t="shared" si="1"/>
        <v>122</v>
      </c>
      <c r="B133" s="405"/>
      <c r="C133" s="388" t="s">
        <v>1058</v>
      </c>
      <c r="D133" s="390"/>
      <c r="E133" s="388" t="s">
        <v>1050</v>
      </c>
      <c r="F133" s="389"/>
      <c r="G133" s="390"/>
      <c r="H133" s="434" t="s">
        <v>1051</v>
      </c>
      <c r="I133" s="434" t="s">
        <v>1059</v>
      </c>
      <c r="J133" s="388" t="s">
        <v>1053</v>
      </c>
      <c r="K133" s="393"/>
      <c r="L133" s="232"/>
      <c r="M133" s="225"/>
      <c r="N133" s="233"/>
    </row>
    <row r="134" spans="1:14" s="220" customFormat="1" ht="11.25" customHeight="1">
      <c r="A134" s="187">
        <f t="shared" si="1"/>
        <v>123</v>
      </c>
      <c r="B134" s="405"/>
      <c r="C134" s="433"/>
      <c r="D134" s="390"/>
      <c r="E134" s="388" t="s">
        <v>1060</v>
      </c>
      <c r="F134" s="389"/>
      <c r="G134" s="390"/>
      <c r="H134" s="435"/>
      <c r="I134" s="435"/>
      <c r="J134" s="388"/>
      <c r="K134" s="393"/>
      <c r="L134" s="232"/>
      <c r="M134" s="225"/>
      <c r="N134" s="233"/>
    </row>
    <row r="135" spans="1:14" s="220" customFormat="1" ht="11.25" customHeight="1">
      <c r="A135" s="187">
        <f t="shared" si="1"/>
        <v>124</v>
      </c>
      <c r="B135" s="405"/>
      <c r="C135" s="433"/>
      <c r="D135" s="390"/>
      <c r="E135" s="388" t="s">
        <v>1061</v>
      </c>
      <c r="F135" s="389"/>
      <c r="G135" s="390"/>
      <c r="H135" s="435"/>
      <c r="I135" s="435"/>
      <c r="J135" s="388"/>
      <c r="K135" s="393"/>
      <c r="L135" s="232"/>
      <c r="M135" s="225"/>
      <c r="N135" s="233"/>
    </row>
    <row r="136" spans="1:14" s="220" customFormat="1" ht="11.25" customHeight="1">
      <c r="A136" s="187">
        <f t="shared" si="1"/>
        <v>125</v>
      </c>
      <c r="B136" s="405"/>
      <c r="C136" s="433"/>
      <c r="D136" s="390"/>
      <c r="E136" s="388" t="s">
        <v>1046</v>
      </c>
      <c r="F136" s="389"/>
      <c r="G136" s="390"/>
      <c r="H136" s="435"/>
      <c r="I136" s="435"/>
      <c r="J136" s="388"/>
      <c r="K136" s="393"/>
      <c r="L136" s="232"/>
      <c r="M136" s="225"/>
      <c r="N136" s="233"/>
    </row>
    <row r="137" spans="1:14" s="220" customFormat="1" ht="12" customHeight="1">
      <c r="A137" s="187">
        <f t="shared" si="1"/>
        <v>126</v>
      </c>
      <c r="B137" s="405"/>
      <c r="C137" s="433"/>
      <c r="D137" s="390"/>
      <c r="E137" s="388" t="s">
        <v>1056</v>
      </c>
      <c r="F137" s="389"/>
      <c r="G137" s="390"/>
      <c r="H137" s="435"/>
      <c r="I137" s="435"/>
      <c r="J137" s="388"/>
      <c r="K137" s="393"/>
      <c r="L137" s="232"/>
      <c r="M137" s="225"/>
      <c r="N137" s="233"/>
    </row>
    <row r="138" spans="1:14" s="220" customFormat="1" ht="12" customHeight="1">
      <c r="A138" s="187">
        <f t="shared" si="1"/>
        <v>127</v>
      </c>
      <c r="B138" s="405"/>
      <c r="C138" s="433"/>
      <c r="D138" s="390"/>
      <c r="E138" s="388" t="s">
        <v>1057</v>
      </c>
      <c r="F138" s="389"/>
      <c r="G138" s="390"/>
      <c r="H138" s="435"/>
      <c r="I138" s="436"/>
      <c r="J138" s="388"/>
      <c r="K138" s="393"/>
      <c r="L138" s="232"/>
      <c r="M138" s="225"/>
      <c r="N138" s="233"/>
    </row>
    <row r="139" spans="1:14" s="220" customFormat="1" ht="12" customHeight="1">
      <c r="A139" s="187">
        <f t="shared" si="1"/>
        <v>128</v>
      </c>
      <c r="B139" s="405"/>
      <c r="C139" s="388" t="s">
        <v>1062</v>
      </c>
      <c r="D139" s="390"/>
      <c r="E139" s="388" t="s">
        <v>1061</v>
      </c>
      <c r="F139" s="389"/>
      <c r="G139" s="390"/>
      <c r="H139" s="435"/>
      <c r="I139" s="190" t="s">
        <v>316</v>
      </c>
      <c r="J139" s="388"/>
      <c r="K139" s="393"/>
      <c r="L139" s="232"/>
      <c r="M139" s="225"/>
      <c r="N139" s="233"/>
    </row>
    <row r="140" spans="1:14" s="220" customFormat="1" ht="12" customHeight="1">
      <c r="A140" s="187">
        <f t="shared" si="1"/>
        <v>129</v>
      </c>
      <c r="B140" s="405"/>
      <c r="C140" s="433"/>
      <c r="D140" s="390"/>
      <c r="E140" s="388" t="s">
        <v>1046</v>
      </c>
      <c r="F140" s="389"/>
      <c r="G140" s="390"/>
      <c r="H140" s="436"/>
      <c r="I140" s="190" t="s">
        <v>316</v>
      </c>
      <c r="J140" s="388"/>
      <c r="K140" s="393"/>
      <c r="L140" s="232"/>
      <c r="M140" s="225"/>
      <c r="N140" s="233"/>
    </row>
    <row r="141" spans="1:14" s="220" customFormat="1" ht="11.25" customHeight="1">
      <c r="A141" s="187">
        <f t="shared" si="1"/>
        <v>130</v>
      </c>
      <c r="B141" s="405"/>
      <c r="C141" s="388" t="s">
        <v>1063</v>
      </c>
      <c r="D141" s="390"/>
      <c r="E141" s="388" t="s">
        <v>1064</v>
      </c>
      <c r="F141" s="389"/>
      <c r="G141" s="390"/>
      <c r="H141" s="434" t="s">
        <v>1051</v>
      </c>
      <c r="I141" s="434" t="s">
        <v>1065</v>
      </c>
      <c r="J141" s="388"/>
      <c r="K141" s="393"/>
      <c r="L141" s="232"/>
      <c r="M141" s="225"/>
      <c r="N141" s="233"/>
    </row>
    <row r="142" spans="1:14" s="220" customFormat="1" ht="12" customHeight="1">
      <c r="A142" s="187">
        <f t="shared" ref="A142:A205" si="2">A141+1</f>
        <v>131</v>
      </c>
      <c r="B142" s="405"/>
      <c r="C142" s="433"/>
      <c r="D142" s="390"/>
      <c r="E142" s="388" t="s">
        <v>1066</v>
      </c>
      <c r="F142" s="389"/>
      <c r="G142" s="390"/>
      <c r="H142" s="435"/>
      <c r="I142" s="435"/>
      <c r="J142" s="388"/>
      <c r="K142" s="393"/>
      <c r="L142" s="232"/>
      <c r="M142" s="225"/>
      <c r="N142" s="233"/>
    </row>
    <row r="143" spans="1:14" s="220" customFormat="1" ht="12" customHeight="1">
      <c r="A143" s="187">
        <f t="shared" si="2"/>
        <v>132</v>
      </c>
      <c r="B143" s="405"/>
      <c r="C143" s="433"/>
      <c r="D143" s="390"/>
      <c r="E143" s="388" t="s">
        <v>1046</v>
      </c>
      <c r="F143" s="389"/>
      <c r="G143" s="390"/>
      <c r="H143" s="435"/>
      <c r="I143" s="435"/>
      <c r="J143" s="388"/>
      <c r="K143" s="393"/>
      <c r="L143" s="232"/>
      <c r="M143" s="225"/>
      <c r="N143" s="233"/>
    </row>
    <row r="144" spans="1:14" s="220" customFormat="1" ht="53.25" customHeight="1">
      <c r="A144" s="187">
        <f t="shared" si="2"/>
        <v>133</v>
      </c>
      <c r="B144" s="405"/>
      <c r="C144" s="433"/>
      <c r="D144" s="390"/>
      <c r="E144" s="388" t="s">
        <v>1067</v>
      </c>
      <c r="F144" s="423"/>
      <c r="G144" s="424"/>
      <c r="H144" s="435"/>
      <c r="I144" s="435"/>
      <c r="J144" s="388"/>
      <c r="K144" s="393"/>
      <c r="L144" s="232"/>
      <c r="M144" s="225"/>
      <c r="N144" s="233"/>
    </row>
    <row r="145" spans="1:14" s="220" customFormat="1" ht="56.25" customHeight="1">
      <c r="A145" s="187">
        <f t="shared" si="2"/>
        <v>134</v>
      </c>
      <c r="B145" s="405"/>
      <c r="C145" s="433"/>
      <c r="D145" s="390"/>
      <c r="E145" s="388" t="s">
        <v>1068</v>
      </c>
      <c r="F145" s="389"/>
      <c r="G145" s="390"/>
      <c r="H145" s="436"/>
      <c r="I145" s="436"/>
      <c r="J145" s="388"/>
      <c r="K145" s="393"/>
      <c r="L145" s="232"/>
      <c r="M145" s="225"/>
      <c r="N145" s="233"/>
    </row>
    <row r="146" spans="1:14" s="220" customFormat="1" ht="30" customHeight="1">
      <c r="A146" s="187">
        <f t="shared" si="2"/>
        <v>135</v>
      </c>
      <c r="B146" s="405"/>
      <c r="C146" s="388" t="s">
        <v>1069</v>
      </c>
      <c r="D146" s="390"/>
      <c r="E146" s="388" t="s">
        <v>1064</v>
      </c>
      <c r="F146" s="389"/>
      <c r="G146" s="390"/>
      <c r="H146" s="434" t="s">
        <v>1051</v>
      </c>
      <c r="I146" s="434" t="s">
        <v>1065</v>
      </c>
      <c r="J146" s="388"/>
      <c r="K146" s="393"/>
      <c r="L146" s="232"/>
      <c r="M146" s="225"/>
      <c r="N146" s="233"/>
    </row>
    <row r="147" spans="1:14" s="220" customFormat="1" ht="30" customHeight="1">
      <c r="A147" s="187">
        <f t="shared" si="2"/>
        <v>136</v>
      </c>
      <c r="B147" s="405"/>
      <c r="C147" s="433"/>
      <c r="D147" s="390"/>
      <c r="E147" s="388" t="s">
        <v>1066</v>
      </c>
      <c r="F147" s="389"/>
      <c r="G147" s="390"/>
      <c r="H147" s="435"/>
      <c r="I147" s="435"/>
      <c r="J147" s="388"/>
      <c r="K147" s="393"/>
      <c r="L147" s="232"/>
      <c r="M147" s="225"/>
      <c r="N147" s="233"/>
    </row>
    <row r="148" spans="1:14" s="220" customFormat="1" ht="30" customHeight="1">
      <c r="A148" s="187">
        <f t="shared" si="2"/>
        <v>137</v>
      </c>
      <c r="B148" s="405"/>
      <c r="C148" s="433"/>
      <c r="D148" s="390"/>
      <c r="E148" s="388" t="s">
        <v>1070</v>
      </c>
      <c r="F148" s="389"/>
      <c r="G148" s="390"/>
      <c r="H148" s="436"/>
      <c r="I148" s="436"/>
      <c r="J148" s="388"/>
      <c r="K148" s="393"/>
      <c r="L148" s="232"/>
      <c r="M148" s="225"/>
      <c r="N148" s="233"/>
    </row>
    <row r="149" spans="1:14" s="220" customFormat="1" ht="22.5" customHeight="1">
      <c r="A149" s="187">
        <f t="shared" si="2"/>
        <v>138</v>
      </c>
      <c r="B149" s="405"/>
      <c r="C149" s="388" t="s">
        <v>1071</v>
      </c>
      <c r="D149" s="424"/>
      <c r="E149" s="388" t="s">
        <v>1072</v>
      </c>
      <c r="F149" s="389"/>
      <c r="G149" s="390"/>
      <c r="H149" s="434" t="s">
        <v>1051</v>
      </c>
      <c r="I149" s="434" t="s">
        <v>1073</v>
      </c>
      <c r="J149" s="388"/>
      <c r="K149" s="393"/>
      <c r="L149" s="232"/>
      <c r="M149" s="225"/>
      <c r="N149" s="233"/>
    </row>
    <row r="150" spans="1:14" s="220" customFormat="1" ht="72" customHeight="1">
      <c r="A150" s="187">
        <f t="shared" si="2"/>
        <v>139</v>
      </c>
      <c r="B150" s="405"/>
      <c r="C150" s="388"/>
      <c r="D150" s="424"/>
      <c r="E150" s="388" t="s">
        <v>1046</v>
      </c>
      <c r="F150" s="389"/>
      <c r="G150" s="390"/>
      <c r="H150" s="436"/>
      <c r="I150" s="436"/>
      <c r="J150" s="388"/>
      <c r="K150" s="393"/>
      <c r="L150" s="232"/>
      <c r="M150" s="225"/>
      <c r="N150" s="233"/>
    </row>
    <row r="151" spans="1:14" s="220" customFormat="1" ht="87.75" customHeight="1">
      <c r="A151" s="187">
        <f t="shared" si="2"/>
        <v>140</v>
      </c>
      <c r="B151" s="405"/>
      <c r="C151" s="388" t="s">
        <v>1074</v>
      </c>
      <c r="D151" s="390"/>
      <c r="E151" s="388" t="s">
        <v>1075</v>
      </c>
      <c r="F151" s="389"/>
      <c r="G151" s="390"/>
      <c r="H151" s="190" t="s">
        <v>1051</v>
      </c>
      <c r="I151" s="190" t="s">
        <v>1065</v>
      </c>
      <c r="J151" s="388"/>
      <c r="K151" s="393"/>
      <c r="L151" s="232"/>
      <c r="M151" s="225"/>
      <c r="N151" s="233"/>
    </row>
    <row r="152" spans="1:14" s="220" customFormat="1" ht="84" customHeight="1">
      <c r="A152" s="187">
        <f t="shared" si="2"/>
        <v>141</v>
      </c>
      <c r="B152" s="405"/>
      <c r="C152" s="388" t="s">
        <v>1076</v>
      </c>
      <c r="D152" s="390"/>
      <c r="E152" s="388" t="s">
        <v>1077</v>
      </c>
      <c r="F152" s="389"/>
      <c r="G152" s="390"/>
      <c r="H152" s="190" t="s">
        <v>1051</v>
      </c>
      <c r="I152" s="190" t="s">
        <v>1065</v>
      </c>
      <c r="J152" s="388"/>
      <c r="K152" s="459"/>
      <c r="L152" s="232"/>
      <c r="M152" s="225"/>
      <c r="N152" s="233"/>
    </row>
    <row r="153" spans="1:14" s="220" customFormat="1" ht="11.25" customHeight="1">
      <c r="A153" s="187">
        <f t="shared" si="2"/>
        <v>142</v>
      </c>
      <c r="B153" s="405"/>
      <c r="C153" s="388" t="s">
        <v>1078</v>
      </c>
      <c r="D153" s="390"/>
      <c r="E153" s="388" t="s">
        <v>1079</v>
      </c>
      <c r="F153" s="389"/>
      <c r="G153" s="390"/>
      <c r="H153" s="190" t="s">
        <v>893</v>
      </c>
      <c r="I153" s="190" t="s">
        <v>316</v>
      </c>
      <c r="J153" s="388"/>
      <c r="K153" s="393"/>
      <c r="L153" s="232"/>
      <c r="M153" s="225"/>
      <c r="N153" s="233"/>
    </row>
    <row r="154" spans="1:14" s="222" customFormat="1" ht="11.25" customHeight="1">
      <c r="A154" s="187">
        <f t="shared" si="2"/>
        <v>143</v>
      </c>
      <c r="B154" s="405"/>
      <c r="C154" s="426" t="s">
        <v>1080</v>
      </c>
      <c r="D154" s="427"/>
      <c r="E154" s="427"/>
      <c r="F154" s="427"/>
      <c r="G154" s="428"/>
      <c r="H154" s="193"/>
      <c r="I154" s="193"/>
      <c r="J154" s="458" t="s">
        <v>1042</v>
      </c>
      <c r="K154" s="393"/>
      <c r="L154" s="238"/>
      <c r="M154" s="226"/>
      <c r="N154" s="235"/>
    </row>
    <row r="155" spans="1:14" s="220" customFormat="1">
      <c r="A155" s="187">
        <f t="shared" si="2"/>
        <v>144</v>
      </c>
      <c r="B155" s="405"/>
      <c r="C155" s="388" t="s">
        <v>1043</v>
      </c>
      <c r="D155" s="390"/>
      <c r="E155" s="388" t="s">
        <v>1081</v>
      </c>
      <c r="F155" s="389"/>
      <c r="G155" s="390"/>
      <c r="H155" s="190" t="s">
        <v>893</v>
      </c>
      <c r="I155" s="190" t="s">
        <v>316</v>
      </c>
      <c r="J155" s="460"/>
      <c r="K155" s="393"/>
      <c r="L155" s="232"/>
      <c r="M155" s="225"/>
      <c r="N155" s="233"/>
    </row>
    <row r="156" spans="1:14" s="220" customFormat="1">
      <c r="A156" s="187">
        <f t="shared" si="2"/>
        <v>145</v>
      </c>
      <c r="B156" s="405"/>
      <c r="C156" s="388" t="s">
        <v>1045</v>
      </c>
      <c r="D156" s="390"/>
      <c r="E156" s="388" t="s">
        <v>1046</v>
      </c>
      <c r="F156" s="389"/>
      <c r="G156" s="390"/>
      <c r="H156" s="190" t="s">
        <v>893</v>
      </c>
      <c r="I156" s="190" t="s">
        <v>316</v>
      </c>
      <c r="J156" s="388"/>
      <c r="K156" s="393"/>
      <c r="L156" s="232"/>
      <c r="M156" s="225"/>
      <c r="N156" s="233"/>
    </row>
    <row r="157" spans="1:14" s="220" customFormat="1" ht="26.25" customHeight="1">
      <c r="A157" s="187">
        <f t="shared" si="2"/>
        <v>146</v>
      </c>
      <c r="B157" s="405"/>
      <c r="C157" s="388" t="s">
        <v>1047</v>
      </c>
      <c r="D157" s="390"/>
      <c r="E157" s="388" t="s">
        <v>1048</v>
      </c>
      <c r="F157" s="389"/>
      <c r="G157" s="390"/>
      <c r="H157" s="190" t="s">
        <v>1051</v>
      </c>
      <c r="I157" s="190" t="s">
        <v>1082</v>
      </c>
      <c r="J157" s="388"/>
      <c r="K157" s="393"/>
      <c r="L157" s="232"/>
      <c r="M157" s="225"/>
      <c r="N157" s="233"/>
    </row>
    <row r="158" spans="1:14" s="220" customFormat="1" ht="12" customHeight="1">
      <c r="A158" s="187">
        <f t="shared" si="2"/>
        <v>147</v>
      </c>
      <c r="B158" s="405"/>
      <c r="C158" s="388" t="s">
        <v>1049</v>
      </c>
      <c r="D158" s="390"/>
      <c r="E158" s="388" t="s">
        <v>1050</v>
      </c>
      <c r="F158" s="389"/>
      <c r="G158" s="390"/>
      <c r="H158" s="434" t="s">
        <v>1051</v>
      </c>
      <c r="I158" s="434" t="s">
        <v>1083</v>
      </c>
      <c r="J158" s="388" t="s">
        <v>1053</v>
      </c>
      <c r="K158" s="393"/>
      <c r="L158" s="232"/>
      <c r="M158" s="225"/>
      <c r="N158" s="233"/>
    </row>
    <row r="159" spans="1:14" s="220" customFormat="1" ht="12" customHeight="1">
      <c r="A159" s="187">
        <f t="shared" si="2"/>
        <v>148</v>
      </c>
      <c r="B159" s="405"/>
      <c r="C159" s="433"/>
      <c r="D159" s="390"/>
      <c r="E159" s="388" t="s">
        <v>1054</v>
      </c>
      <c r="F159" s="389"/>
      <c r="G159" s="390"/>
      <c r="H159" s="435"/>
      <c r="I159" s="435"/>
      <c r="J159" s="388"/>
      <c r="K159" s="393"/>
      <c r="L159" s="232"/>
      <c r="M159" s="225"/>
      <c r="N159" s="233"/>
    </row>
    <row r="160" spans="1:14" s="220" customFormat="1" ht="12" customHeight="1">
      <c r="A160" s="187">
        <f t="shared" si="2"/>
        <v>149</v>
      </c>
      <c r="B160" s="405"/>
      <c r="C160" s="433"/>
      <c r="D160" s="390"/>
      <c r="E160" s="388" t="s">
        <v>1055</v>
      </c>
      <c r="F160" s="389"/>
      <c r="G160" s="390"/>
      <c r="H160" s="435"/>
      <c r="I160" s="435"/>
      <c r="J160" s="388"/>
      <c r="K160" s="393"/>
      <c r="L160" s="232"/>
      <c r="M160" s="225"/>
      <c r="N160" s="233"/>
    </row>
    <row r="161" spans="1:14" s="220" customFormat="1" ht="12" customHeight="1">
      <c r="A161" s="187">
        <f t="shared" si="2"/>
        <v>150</v>
      </c>
      <c r="B161" s="405"/>
      <c r="C161" s="433"/>
      <c r="D161" s="390"/>
      <c r="E161" s="388" t="s">
        <v>1081</v>
      </c>
      <c r="F161" s="389"/>
      <c r="G161" s="390"/>
      <c r="H161" s="435"/>
      <c r="I161" s="435"/>
      <c r="J161" s="388"/>
      <c r="K161" s="393"/>
      <c r="L161" s="232"/>
      <c r="M161" s="225"/>
      <c r="N161" s="233"/>
    </row>
    <row r="162" spans="1:14" s="220" customFormat="1" ht="12" customHeight="1">
      <c r="A162" s="187">
        <f t="shared" si="2"/>
        <v>151</v>
      </c>
      <c r="B162" s="405"/>
      <c r="C162" s="433"/>
      <c r="D162" s="390"/>
      <c r="E162" s="247" t="s">
        <v>1057</v>
      </c>
      <c r="F162" s="248"/>
      <c r="G162" s="249"/>
      <c r="H162" s="435"/>
      <c r="I162" s="435"/>
      <c r="J162" s="388"/>
      <c r="K162" s="393"/>
      <c r="L162" s="232"/>
      <c r="M162" s="225"/>
      <c r="N162" s="233"/>
    </row>
    <row r="163" spans="1:14" s="220" customFormat="1" ht="12" customHeight="1">
      <c r="A163" s="187">
        <f t="shared" si="2"/>
        <v>152</v>
      </c>
      <c r="B163" s="405"/>
      <c r="C163" s="433"/>
      <c r="D163" s="390"/>
      <c r="E163" s="388" t="s">
        <v>1084</v>
      </c>
      <c r="F163" s="389"/>
      <c r="G163" s="390"/>
      <c r="H163" s="436"/>
      <c r="I163" s="436"/>
      <c r="J163" s="388"/>
      <c r="K163" s="393"/>
      <c r="L163" s="232"/>
      <c r="M163" s="225"/>
      <c r="N163" s="233"/>
    </row>
    <row r="164" spans="1:14" s="220" customFormat="1" ht="11.25" customHeight="1">
      <c r="A164" s="187">
        <f t="shared" si="2"/>
        <v>153</v>
      </c>
      <c r="B164" s="405"/>
      <c r="C164" s="388" t="s">
        <v>1058</v>
      </c>
      <c r="D164" s="390"/>
      <c r="E164" s="388" t="s">
        <v>1050</v>
      </c>
      <c r="F164" s="389"/>
      <c r="G164" s="390"/>
      <c r="H164" s="434" t="s">
        <v>1051</v>
      </c>
      <c r="I164" s="434" t="s">
        <v>1059</v>
      </c>
      <c r="J164" s="388" t="s">
        <v>1053</v>
      </c>
      <c r="K164" s="393"/>
      <c r="L164" s="232"/>
      <c r="M164" s="225"/>
      <c r="N164" s="233"/>
    </row>
    <row r="165" spans="1:14" s="220" customFormat="1" ht="11.25" customHeight="1">
      <c r="A165" s="187">
        <f t="shared" si="2"/>
        <v>154</v>
      </c>
      <c r="B165" s="405"/>
      <c r="C165" s="433"/>
      <c r="D165" s="390"/>
      <c r="E165" s="388" t="s">
        <v>1060</v>
      </c>
      <c r="F165" s="389"/>
      <c r="G165" s="390"/>
      <c r="H165" s="435"/>
      <c r="I165" s="435"/>
      <c r="J165" s="388"/>
      <c r="K165" s="393"/>
      <c r="L165" s="232"/>
      <c r="M165" s="225"/>
      <c r="N165" s="233"/>
    </row>
    <row r="166" spans="1:14" s="220" customFormat="1" ht="11.25" customHeight="1">
      <c r="A166" s="187">
        <f t="shared" si="2"/>
        <v>155</v>
      </c>
      <c r="B166" s="405"/>
      <c r="C166" s="433"/>
      <c r="D166" s="390"/>
      <c r="E166" s="388" t="s">
        <v>1061</v>
      </c>
      <c r="F166" s="389"/>
      <c r="G166" s="390"/>
      <c r="H166" s="435"/>
      <c r="I166" s="435"/>
      <c r="J166" s="388"/>
      <c r="K166" s="393"/>
      <c r="L166" s="232"/>
      <c r="M166" s="225"/>
      <c r="N166" s="233"/>
    </row>
    <row r="167" spans="1:14" s="220" customFormat="1" ht="11.25" customHeight="1">
      <c r="A167" s="187">
        <f t="shared" si="2"/>
        <v>156</v>
      </c>
      <c r="B167" s="405"/>
      <c r="C167" s="433"/>
      <c r="D167" s="390"/>
      <c r="E167" s="388" t="s">
        <v>1081</v>
      </c>
      <c r="F167" s="389"/>
      <c r="G167" s="390"/>
      <c r="H167" s="435"/>
      <c r="I167" s="435"/>
      <c r="J167" s="388"/>
      <c r="K167" s="393"/>
      <c r="L167" s="232"/>
      <c r="M167" s="225"/>
      <c r="N167" s="233"/>
    </row>
    <row r="168" spans="1:14" s="220" customFormat="1" ht="12" customHeight="1">
      <c r="A168" s="187">
        <f t="shared" si="2"/>
        <v>157</v>
      </c>
      <c r="B168" s="405"/>
      <c r="C168" s="433"/>
      <c r="D168" s="390"/>
      <c r="E168" s="388" t="s">
        <v>1057</v>
      </c>
      <c r="F168" s="389"/>
      <c r="G168" s="390"/>
      <c r="H168" s="435"/>
      <c r="I168" s="435"/>
      <c r="J168" s="388"/>
      <c r="K168" s="393"/>
      <c r="L168" s="232"/>
      <c r="M168" s="225"/>
      <c r="N168" s="233"/>
    </row>
    <row r="169" spans="1:14" s="220" customFormat="1" ht="12" customHeight="1">
      <c r="A169" s="187">
        <f t="shared" si="2"/>
        <v>158</v>
      </c>
      <c r="B169" s="405"/>
      <c r="C169" s="433"/>
      <c r="D169" s="390"/>
      <c r="E169" s="388" t="s">
        <v>1084</v>
      </c>
      <c r="F169" s="389"/>
      <c r="G169" s="390"/>
      <c r="H169" s="435"/>
      <c r="I169" s="436"/>
      <c r="J169" s="388"/>
      <c r="K169" s="393"/>
      <c r="L169" s="232"/>
      <c r="M169" s="225"/>
      <c r="N169" s="233"/>
    </row>
    <row r="170" spans="1:14" s="220" customFormat="1" ht="12" customHeight="1">
      <c r="A170" s="187">
        <f t="shared" si="2"/>
        <v>159</v>
      </c>
      <c r="B170" s="405"/>
      <c r="C170" s="388" t="s">
        <v>1062</v>
      </c>
      <c r="D170" s="390"/>
      <c r="E170" s="388" t="s">
        <v>1061</v>
      </c>
      <c r="F170" s="389"/>
      <c r="G170" s="390"/>
      <c r="H170" s="435"/>
      <c r="I170" s="190" t="s">
        <v>316</v>
      </c>
      <c r="J170" s="388"/>
      <c r="K170" s="393"/>
      <c r="L170" s="232"/>
      <c r="M170" s="225"/>
      <c r="N170" s="233"/>
    </row>
    <row r="171" spans="1:14" s="220" customFormat="1" ht="12" customHeight="1">
      <c r="A171" s="187">
        <f t="shared" si="2"/>
        <v>160</v>
      </c>
      <c r="B171" s="405"/>
      <c r="C171" s="433"/>
      <c r="D171" s="390"/>
      <c r="E171" s="388" t="s">
        <v>1046</v>
      </c>
      <c r="F171" s="389"/>
      <c r="G171" s="390"/>
      <c r="H171" s="436"/>
      <c r="I171" s="190" t="s">
        <v>316</v>
      </c>
      <c r="J171" s="388"/>
      <c r="K171" s="393"/>
      <c r="L171" s="232"/>
      <c r="M171" s="225"/>
      <c r="N171" s="233"/>
    </row>
    <row r="172" spans="1:14" s="220" customFormat="1" ht="11.25" customHeight="1">
      <c r="A172" s="187">
        <f t="shared" si="2"/>
        <v>161</v>
      </c>
      <c r="B172" s="405"/>
      <c r="C172" s="388" t="s">
        <v>1063</v>
      </c>
      <c r="D172" s="390"/>
      <c r="E172" s="388" t="s">
        <v>1064</v>
      </c>
      <c r="F172" s="389"/>
      <c r="G172" s="390"/>
      <c r="H172" s="434" t="s">
        <v>1051</v>
      </c>
      <c r="I172" s="434" t="s">
        <v>1065</v>
      </c>
      <c r="J172" s="388"/>
      <c r="K172" s="393"/>
      <c r="L172" s="232"/>
      <c r="M172" s="225"/>
      <c r="N172" s="233"/>
    </row>
    <row r="173" spans="1:14" s="220" customFormat="1" ht="12" customHeight="1">
      <c r="A173" s="187">
        <f t="shared" si="2"/>
        <v>162</v>
      </c>
      <c r="B173" s="405"/>
      <c r="C173" s="433"/>
      <c r="D173" s="390"/>
      <c r="E173" s="388" t="s">
        <v>1066</v>
      </c>
      <c r="F173" s="389"/>
      <c r="G173" s="390"/>
      <c r="H173" s="435"/>
      <c r="I173" s="435"/>
      <c r="J173" s="388"/>
      <c r="K173" s="393"/>
      <c r="L173" s="232"/>
      <c r="M173" s="225"/>
      <c r="N173" s="233"/>
    </row>
    <row r="174" spans="1:14" s="220" customFormat="1" ht="12" customHeight="1">
      <c r="A174" s="187">
        <f t="shared" si="2"/>
        <v>163</v>
      </c>
      <c r="B174" s="405"/>
      <c r="C174" s="433"/>
      <c r="D174" s="390"/>
      <c r="E174" s="388" t="s">
        <v>1044</v>
      </c>
      <c r="F174" s="389"/>
      <c r="G174" s="390"/>
      <c r="H174" s="435"/>
      <c r="I174" s="435"/>
      <c r="J174" s="388"/>
      <c r="K174" s="393"/>
      <c r="L174" s="232"/>
      <c r="M174" s="225"/>
      <c r="N174" s="233"/>
    </row>
    <row r="175" spans="1:14" s="220" customFormat="1" ht="53.25" customHeight="1">
      <c r="A175" s="187">
        <f t="shared" si="2"/>
        <v>164</v>
      </c>
      <c r="B175" s="405"/>
      <c r="C175" s="433"/>
      <c r="D175" s="390"/>
      <c r="E175" s="388" t="s">
        <v>1067</v>
      </c>
      <c r="F175" s="389"/>
      <c r="G175" s="390"/>
      <c r="H175" s="435"/>
      <c r="I175" s="435"/>
      <c r="J175" s="388"/>
      <c r="K175" s="393"/>
      <c r="L175" s="232"/>
      <c r="M175" s="225"/>
      <c r="N175" s="233"/>
    </row>
    <row r="176" spans="1:14" s="220" customFormat="1" ht="56.25" customHeight="1">
      <c r="A176" s="187">
        <f t="shared" si="2"/>
        <v>165</v>
      </c>
      <c r="B176" s="405"/>
      <c r="C176" s="433"/>
      <c r="D176" s="390"/>
      <c r="E176" s="388" t="s">
        <v>1068</v>
      </c>
      <c r="F176" s="389"/>
      <c r="G176" s="390"/>
      <c r="H176" s="436"/>
      <c r="I176" s="436"/>
      <c r="J176" s="388"/>
      <c r="K176" s="393"/>
      <c r="L176" s="232"/>
      <c r="M176" s="225"/>
      <c r="N176" s="233"/>
    </row>
    <row r="177" spans="1:14" s="220" customFormat="1" ht="27.75" customHeight="1">
      <c r="A177" s="187">
        <f t="shared" si="2"/>
        <v>166</v>
      </c>
      <c r="B177" s="405"/>
      <c r="C177" s="388" t="s">
        <v>1069</v>
      </c>
      <c r="D177" s="390"/>
      <c r="E177" s="388" t="s">
        <v>1064</v>
      </c>
      <c r="F177" s="389"/>
      <c r="G177" s="390"/>
      <c r="H177" s="434" t="s">
        <v>1051</v>
      </c>
      <c r="I177" s="434" t="s">
        <v>1065</v>
      </c>
      <c r="J177" s="388"/>
      <c r="K177" s="393"/>
      <c r="L177" s="232"/>
      <c r="M177" s="225"/>
      <c r="N177" s="233"/>
    </row>
    <row r="178" spans="1:14" s="220" customFormat="1" ht="27.75" customHeight="1">
      <c r="A178" s="187">
        <f t="shared" si="2"/>
        <v>167</v>
      </c>
      <c r="B178" s="405"/>
      <c r="C178" s="433"/>
      <c r="D178" s="390"/>
      <c r="E178" s="388" t="s">
        <v>1066</v>
      </c>
      <c r="F178" s="389"/>
      <c r="G178" s="390"/>
      <c r="H178" s="435"/>
      <c r="I178" s="435"/>
      <c r="J178" s="388"/>
      <c r="K178" s="393"/>
      <c r="L178" s="232"/>
      <c r="M178" s="225"/>
      <c r="N178" s="233"/>
    </row>
    <row r="179" spans="1:14" s="220" customFormat="1" ht="27.75" customHeight="1">
      <c r="A179" s="187">
        <f t="shared" si="2"/>
        <v>168</v>
      </c>
      <c r="B179" s="405"/>
      <c r="C179" s="433"/>
      <c r="D179" s="390"/>
      <c r="E179" s="388" t="s">
        <v>1081</v>
      </c>
      <c r="F179" s="389"/>
      <c r="G179" s="390"/>
      <c r="H179" s="436"/>
      <c r="I179" s="436"/>
      <c r="J179" s="388"/>
      <c r="K179" s="393"/>
      <c r="L179" s="232"/>
      <c r="M179" s="225"/>
      <c r="N179" s="233"/>
    </row>
    <row r="180" spans="1:14" s="220" customFormat="1" ht="35.25" customHeight="1">
      <c r="A180" s="187">
        <f t="shared" si="2"/>
        <v>169</v>
      </c>
      <c r="B180" s="405"/>
      <c r="C180" s="388" t="s">
        <v>1071</v>
      </c>
      <c r="D180" s="390"/>
      <c r="E180" s="388" t="s">
        <v>1072</v>
      </c>
      <c r="F180" s="389"/>
      <c r="G180" s="390"/>
      <c r="H180" s="445" t="s">
        <v>1051</v>
      </c>
      <c r="I180" s="434" t="s">
        <v>1073</v>
      </c>
      <c r="J180" s="388"/>
      <c r="K180" s="393"/>
      <c r="L180" s="232"/>
      <c r="M180" s="225"/>
      <c r="N180" s="233"/>
    </row>
    <row r="181" spans="1:14" s="220" customFormat="1" ht="35.25" customHeight="1">
      <c r="A181" s="187">
        <f t="shared" si="2"/>
        <v>170</v>
      </c>
      <c r="B181" s="405"/>
      <c r="C181" s="433"/>
      <c r="D181" s="390"/>
      <c r="E181" s="388" t="s">
        <v>1081</v>
      </c>
      <c r="F181" s="389"/>
      <c r="G181" s="390"/>
      <c r="H181" s="446"/>
      <c r="I181" s="436"/>
      <c r="J181" s="388"/>
      <c r="K181" s="393"/>
      <c r="L181" s="232"/>
      <c r="M181" s="225"/>
      <c r="N181" s="233"/>
    </row>
    <row r="182" spans="1:14" s="220" customFormat="1" ht="11.25" customHeight="1">
      <c r="A182" s="187">
        <f t="shared" si="2"/>
        <v>171</v>
      </c>
      <c r="B182" s="405"/>
      <c r="C182" s="388" t="s">
        <v>1085</v>
      </c>
      <c r="D182" s="390"/>
      <c r="E182" s="388" t="s">
        <v>1086</v>
      </c>
      <c r="F182" s="389"/>
      <c r="G182" s="390"/>
      <c r="H182" s="190" t="s">
        <v>1051</v>
      </c>
      <c r="I182" s="190" t="s">
        <v>1082</v>
      </c>
      <c r="J182" s="460"/>
      <c r="K182" s="393"/>
      <c r="L182" s="232"/>
      <c r="M182" s="225"/>
      <c r="N182" s="233"/>
    </row>
    <row r="183" spans="1:14" s="220" customFormat="1" ht="11.25" customHeight="1">
      <c r="A183" s="187">
        <f t="shared" si="2"/>
        <v>172</v>
      </c>
      <c r="B183" s="405"/>
      <c r="C183" s="388" t="s">
        <v>1087</v>
      </c>
      <c r="D183" s="390"/>
      <c r="E183" s="388" t="s">
        <v>1088</v>
      </c>
      <c r="F183" s="423"/>
      <c r="G183" s="424"/>
      <c r="H183" s="190" t="s">
        <v>1051</v>
      </c>
      <c r="I183" s="190" t="s">
        <v>1082</v>
      </c>
      <c r="J183" s="460"/>
      <c r="K183" s="393"/>
      <c r="L183" s="232"/>
      <c r="M183" s="225"/>
      <c r="N183" s="233"/>
    </row>
    <row r="184" spans="1:14" s="220" customFormat="1" ht="45" customHeight="1">
      <c r="A184" s="187">
        <f t="shared" si="2"/>
        <v>173</v>
      </c>
      <c r="B184" s="405"/>
      <c r="C184" s="388" t="s">
        <v>1074</v>
      </c>
      <c r="D184" s="390"/>
      <c r="E184" s="388" t="s">
        <v>1089</v>
      </c>
      <c r="F184" s="389"/>
      <c r="G184" s="390"/>
      <c r="H184" s="190" t="s">
        <v>1051</v>
      </c>
      <c r="I184" s="190" t="s">
        <v>1082</v>
      </c>
      <c r="J184" s="388"/>
      <c r="K184" s="393"/>
      <c r="L184" s="232"/>
      <c r="M184" s="225"/>
      <c r="N184" s="233"/>
    </row>
    <row r="185" spans="1:14" s="220" customFormat="1" ht="12" customHeight="1">
      <c r="A185" s="187">
        <f t="shared" si="2"/>
        <v>174</v>
      </c>
      <c r="B185" s="405"/>
      <c r="C185" s="388" t="s">
        <v>1076</v>
      </c>
      <c r="D185" s="390"/>
      <c r="E185" s="388" t="s">
        <v>1077</v>
      </c>
      <c r="F185" s="389"/>
      <c r="G185" s="390"/>
      <c r="H185" s="190" t="s">
        <v>1051</v>
      </c>
      <c r="I185" s="190" t="s">
        <v>1082</v>
      </c>
      <c r="J185" s="388"/>
      <c r="K185" s="393"/>
      <c r="L185" s="232"/>
      <c r="M185" s="225"/>
      <c r="N185" s="233"/>
    </row>
    <row r="186" spans="1:14" s="220" customFormat="1">
      <c r="A186" s="187">
        <f t="shared" si="2"/>
        <v>175</v>
      </c>
      <c r="B186" s="405"/>
      <c r="C186" s="388" t="s">
        <v>1090</v>
      </c>
      <c r="D186" s="390"/>
      <c r="E186" s="388" t="s">
        <v>1046</v>
      </c>
      <c r="F186" s="423"/>
      <c r="G186" s="424"/>
      <c r="H186" s="190" t="s">
        <v>316</v>
      </c>
      <c r="I186" s="190" t="s">
        <v>316</v>
      </c>
      <c r="J186" s="388"/>
      <c r="K186" s="393"/>
      <c r="L186" s="232"/>
      <c r="M186" s="225"/>
      <c r="N186" s="233"/>
    </row>
    <row r="187" spans="1:14" s="220" customFormat="1" ht="11.25" customHeight="1">
      <c r="A187" s="187">
        <f t="shared" si="2"/>
        <v>176</v>
      </c>
      <c r="B187" s="405"/>
      <c r="C187" s="388" t="s">
        <v>1078</v>
      </c>
      <c r="D187" s="390"/>
      <c r="E187" s="388" t="s">
        <v>1091</v>
      </c>
      <c r="F187" s="389"/>
      <c r="G187" s="390"/>
      <c r="H187" s="190" t="s">
        <v>316</v>
      </c>
      <c r="I187" s="190" t="s">
        <v>316</v>
      </c>
      <c r="J187" s="388"/>
      <c r="K187" s="393"/>
      <c r="L187" s="232"/>
      <c r="M187" s="225"/>
      <c r="N187" s="233"/>
    </row>
    <row r="188" spans="1:14" s="222" customFormat="1">
      <c r="A188" s="187">
        <f t="shared" si="2"/>
        <v>177</v>
      </c>
      <c r="B188" s="405"/>
      <c r="C188" s="426" t="s">
        <v>1092</v>
      </c>
      <c r="D188" s="427"/>
      <c r="E188" s="427"/>
      <c r="F188" s="427"/>
      <c r="G188" s="428"/>
      <c r="H188" s="193"/>
      <c r="I188" s="193"/>
      <c r="J188" s="458" t="s">
        <v>1093</v>
      </c>
      <c r="K188" s="393"/>
      <c r="L188" s="238"/>
      <c r="M188" s="226"/>
      <c r="N188" s="235"/>
    </row>
    <row r="189" spans="1:14" s="220" customFormat="1" ht="12" customHeight="1">
      <c r="A189" s="187">
        <f t="shared" si="2"/>
        <v>178</v>
      </c>
      <c r="B189" s="405"/>
      <c r="C189" s="388" t="s">
        <v>1094</v>
      </c>
      <c r="D189" s="390"/>
      <c r="E189" s="388" t="s">
        <v>1081</v>
      </c>
      <c r="F189" s="389"/>
      <c r="G189" s="390"/>
      <c r="H189" s="190" t="s">
        <v>893</v>
      </c>
      <c r="I189" s="190" t="s">
        <v>316</v>
      </c>
      <c r="J189" s="388"/>
      <c r="K189" s="393"/>
      <c r="L189" s="232"/>
      <c r="M189" s="225"/>
      <c r="N189" s="233"/>
    </row>
    <row r="190" spans="1:14" s="220" customFormat="1">
      <c r="A190" s="187">
        <f t="shared" si="2"/>
        <v>179</v>
      </c>
      <c r="B190" s="405"/>
      <c r="C190" s="388" t="s">
        <v>1095</v>
      </c>
      <c r="D190" s="390"/>
      <c r="E190" s="388" t="s">
        <v>1055</v>
      </c>
      <c r="F190" s="389"/>
      <c r="G190" s="390"/>
      <c r="H190" s="190" t="s">
        <v>893</v>
      </c>
      <c r="I190" s="190" t="s">
        <v>316</v>
      </c>
      <c r="J190" s="388"/>
      <c r="K190" s="393"/>
      <c r="L190" s="232"/>
      <c r="M190" s="225"/>
      <c r="N190" s="233"/>
    </row>
    <row r="191" spans="1:14" s="220" customFormat="1" ht="12" customHeight="1">
      <c r="A191" s="187">
        <f t="shared" si="2"/>
        <v>180</v>
      </c>
      <c r="B191" s="405"/>
      <c r="C191" s="433"/>
      <c r="D191" s="390"/>
      <c r="E191" s="388" t="s">
        <v>1081</v>
      </c>
      <c r="F191" s="389"/>
      <c r="G191" s="390"/>
      <c r="H191" s="190" t="s">
        <v>893</v>
      </c>
      <c r="I191" s="190" t="s">
        <v>316</v>
      </c>
      <c r="J191" s="388"/>
      <c r="K191" s="393"/>
      <c r="L191" s="232"/>
      <c r="M191" s="225"/>
      <c r="N191" s="233"/>
    </row>
    <row r="192" spans="1:14" s="220" customFormat="1">
      <c r="A192" s="187">
        <f t="shared" si="2"/>
        <v>181</v>
      </c>
      <c r="B192" s="405"/>
      <c r="C192" s="388" t="s">
        <v>1096</v>
      </c>
      <c r="D192" s="390"/>
      <c r="E192" s="388" t="s">
        <v>1061</v>
      </c>
      <c r="F192" s="389"/>
      <c r="G192" s="390"/>
      <c r="H192" s="190" t="s">
        <v>893</v>
      </c>
      <c r="I192" s="190" t="s">
        <v>316</v>
      </c>
      <c r="J192" s="388"/>
      <c r="K192" s="393"/>
      <c r="L192" s="232"/>
      <c r="M192" s="225"/>
      <c r="N192" s="233"/>
    </row>
    <row r="193" spans="1:14" s="220" customFormat="1" ht="12" customHeight="1">
      <c r="A193" s="187">
        <f t="shared" si="2"/>
        <v>182</v>
      </c>
      <c r="B193" s="405"/>
      <c r="C193" s="433"/>
      <c r="D193" s="390"/>
      <c r="E193" s="388" t="s">
        <v>1081</v>
      </c>
      <c r="F193" s="389"/>
      <c r="G193" s="390"/>
      <c r="H193" s="190" t="s">
        <v>893</v>
      </c>
      <c r="I193" s="190" t="s">
        <v>316</v>
      </c>
      <c r="J193" s="388"/>
      <c r="K193" s="393"/>
      <c r="L193" s="232"/>
      <c r="M193" s="225"/>
      <c r="N193" s="233"/>
    </row>
    <row r="194" spans="1:14" s="220" customFormat="1" ht="12" customHeight="1">
      <c r="A194" s="187">
        <f t="shared" si="2"/>
        <v>183</v>
      </c>
      <c r="B194" s="405"/>
      <c r="C194" s="388" t="s">
        <v>1097</v>
      </c>
      <c r="D194" s="390"/>
      <c r="E194" s="247" t="s">
        <v>1066</v>
      </c>
      <c r="F194" s="248"/>
      <c r="G194" s="249"/>
      <c r="H194" s="190" t="s">
        <v>893</v>
      </c>
      <c r="I194" s="190" t="s">
        <v>316</v>
      </c>
      <c r="J194" s="388"/>
      <c r="K194" s="393"/>
      <c r="L194" s="232"/>
      <c r="M194" s="225"/>
      <c r="N194" s="233"/>
    </row>
    <row r="195" spans="1:14" s="220" customFormat="1" ht="12" customHeight="1">
      <c r="A195" s="187">
        <f t="shared" si="2"/>
        <v>184</v>
      </c>
      <c r="B195" s="405"/>
      <c r="C195" s="433"/>
      <c r="D195" s="390"/>
      <c r="E195" s="247" t="s">
        <v>1044</v>
      </c>
      <c r="F195" s="248"/>
      <c r="G195" s="249"/>
      <c r="H195" s="190" t="s">
        <v>893</v>
      </c>
      <c r="I195" s="190" t="s">
        <v>316</v>
      </c>
      <c r="J195" s="388"/>
      <c r="K195" s="393"/>
      <c r="L195" s="232"/>
      <c r="M195" s="225"/>
      <c r="N195" s="233"/>
    </row>
    <row r="196" spans="1:14" s="220" customFormat="1" ht="56.25" customHeight="1">
      <c r="A196" s="187">
        <f t="shared" si="2"/>
        <v>185</v>
      </c>
      <c r="B196" s="405"/>
      <c r="C196" s="433"/>
      <c r="D196" s="390"/>
      <c r="E196" s="388" t="s">
        <v>1068</v>
      </c>
      <c r="F196" s="389"/>
      <c r="G196" s="390"/>
      <c r="H196" s="190" t="s">
        <v>893</v>
      </c>
      <c r="I196" s="190" t="s">
        <v>316</v>
      </c>
      <c r="J196" s="388"/>
      <c r="K196" s="393"/>
      <c r="L196" s="232"/>
      <c r="M196" s="225"/>
      <c r="N196" s="233"/>
    </row>
    <row r="197" spans="1:14" s="220" customFormat="1">
      <c r="A197" s="187">
        <f t="shared" si="2"/>
        <v>186</v>
      </c>
      <c r="B197" s="405"/>
      <c r="C197" s="388" t="s">
        <v>1071</v>
      </c>
      <c r="D197" s="390"/>
      <c r="E197" s="388" t="s">
        <v>1098</v>
      </c>
      <c r="F197" s="389"/>
      <c r="G197" s="390"/>
      <c r="H197" s="190" t="s">
        <v>893</v>
      </c>
      <c r="I197" s="190" t="s">
        <v>316</v>
      </c>
      <c r="J197" s="388"/>
      <c r="K197" s="393"/>
      <c r="L197" s="232"/>
      <c r="M197" s="225"/>
      <c r="N197" s="233"/>
    </row>
    <row r="198" spans="1:14" s="220" customFormat="1" ht="12" customHeight="1">
      <c r="A198" s="187">
        <f t="shared" si="2"/>
        <v>187</v>
      </c>
      <c r="B198" s="405"/>
      <c r="C198" s="433"/>
      <c r="D198" s="390"/>
      <c r="E198" s="247" t="s">
        <v>1044</v>
      </c>
      <c r="F198" s="248"/>
      <c r="G198" s="249"/>
      <c r="H198" s="190" t="s">
        <v>893</v>
      </c>
      <c r="I198" s="190" t="s">
        <v>316</v>
      </c>
      <c r="J198" s="388"/>
      <c r="K198" s="393"/>
      <c r="L198" s="232"/>
      <c r="M198" s="225"/>
      <c r="N198" s="233"/>
    </row>
    <row r="199" spans="1:14" s="220" customFormat="1" ht="14.25" customHeight="1">
      <c r="A199" s="187">
        <f t="shared" si="2"/>
        <v>188</v>
      </c>
      <c r="B199" s="405"/>
      <c r="C199" s="388" t="s">
        <v>1085</v>
      </c>
      <c r="D199" s="390"/>
      <c r="E199" s="388" t="s">
        <v>1086</v>
      </c>
      <c r="F199" s="389"/>
      <c r="G199" s="390"/>
      <c r="H199" s="190" t="s">
        <v>893</v>
      </c>
      <c r="I199" s="190" t="s">
        <v>316</v>
      </c>
      <c r="J199" s="388"/>
      <c r="K199" s="393"/>
      <c r="L199" s="232"/>
      <c r="M199" s="225"/>
      <c r="N199" s="233"/>
    </row>
    <row r="200" spans="1:14" s="220" customFormat="1" ht="11.25" customHeight="1">
      <c r="A200" s="187">
        <f t="shared" si="2"/>
        <v>189</v>
      </c>
      <c r="B200" s="405"/>
      <c r="C200" s="388" t="s">
        <v>1087</v>
      </c>
      <c r="D200" s="390"/>
      <c r="E200" s="388" t="s">
        <v>1088</v>
      </c>
      <c r="F200" s="389"/>
      <c r="G200" s="390"/>
      <c r="H200" s="190" t="s">
        <v>893</v>
      </c>
      <c r="I200" s="190" t="s">
        <v>316</v>
      </c>
      <c r="J200" s="388"/>
      <c r="K200" s="393"/>
      <c r="L200" s="232"/>
      <c r="M200" s="225"/>
      <c r="N200" s="233"/>
    </row>
    <row r="201" spans="1:14" s="220" customFormat="1">
      <c r="A201" s="187">
        <f t="shared" si="2"/>
        <v>190</v>
      </c>
      <c r="B201" s="405"/>
      <c r="C201" s="388" t="s">
        <v>1099</v>
      </c>
      <c r="D201" s="390"/>
      <c r="E201" s="388" t="s">
        <v>1081</v>
      </c>
      <c r="F201" s="423"/>
      <c r="G201" s="424"/>
      <c r="H201" s="190" t="s">
        <v>893</v>
      </c>
      <c r="I201" s="190" t="s">
        <v>316</v>
      </c>
      <c r="J201" s="388"/>
      <c r="K201" s="393"/>
      <c r="L201" s="232"/>
      <c r="M201" s="225"/>
      <c r="N201" s="233"/>
    </row>
    <row r="202" spans="1:14" s="220" customFormat="1">
      <c r="A202" s="187">
        <f t="shared" si="2"/>
        <v>191</v>
      </c>
      <c r="B202" s="405"/>
      <c r="C202" s="388" t="s">
        <v>1100</v>
      </c>
      <c r="D202" s="390"/>
      <c r="E202" s="388" t="s">
        <v>1081</v>
      </c>
      <c r="F202" s="389"/>
      <c r="G202" s="390"/>
      <c r="H202" s="190" t="s">
        <v>893</v>
      </c>
      <c r="I202" s="190" t="s">
        <v>316</v>
      </c>
      <c r="J202" s="388"/>
      <c r="K202" s="393"/>
      <c r="L202" s="232"/>
      <c r="M202" s="225"/>
      <c r="N202" s="233"/>
    </row>
    <row r="203" spans="1:14" s="220" customFormat="1">
      <c r="A203" s="187">
        <f t="shared" si="2"/>
        <v>192</v>
      </c>
      <c r="B203" s="405"/>
      <c r="C203" s="388" t="s">
        <v>1101</v>
      </c>
      <c r="D203" s="390"/>
      <c r="E203" s="388" t="s">
        <v>1081</v>
      </c>
      <c r="F203" s="389"/>
      <c r="G203" s="390"/>
      <c r="H203" s="190" t="s">
        <v>893</v>
      </c>
      <c r="I203" s="190" t="s">
        <v>316</v>
      </c>
      <c r="J203" s="388"/>
      <c r="K203" s="393"/>
      <c r="L203" s="232"/>
      <c r="M203" s="225"/>
      <c r="N203" s="233"/>
    </row>
    <row r="204" spans="1:14" s="220" customFormat="1">
      <c r="A204" s="187">
        <f t="shared" si="2"/>
        <v>193</v>
      </c>
      <c r="B204" s="405"/>
      <c r="C204" s="388" t="s">
        <v>1102</v>
      </c>
      <c r="D204" s="390"/>
      <c r="E204" s="388" t="s">
        <v>1046</v>
      </c>
      <c r="F204" s="389"/>
      <c r="G204" s="390"/>
      <c r="H204" s="190" t="s">
        <v>893</v>
      </c>
      <c r="I204" s="190" t="s">
        <v>316</v>
      </c>
      <c r="J204" s="388"/>
      <c r="K204" s="393"/>
      <c r="L204" s="232"/>
      <c r="M204" s="225"/>
      <c r="N204" s="233"/>
    </row>
    <row r="205" spans="1:14" s="220" customFormat="1">
      <c r="A205" s="187">
        <f t="shared" si="2"/>
        <v>194</v>
      </c>
      <c r="B205" s="405"/>
      <c r="C205" s="388" t="s">
        <v>1103</v>
      </c>
      <c r="D205" s="390"/>
      <c r="E205" s="388" t="s">
        <v>1081</v>
      </c>
      <c r="F205" s="389"/>
      <c r="G205" s="390"/>
      <c r="H205" s="190" t="s">
        <v>893</v>
      </c>
      <c r="I205" s="190" t="s">
        <v>316</v>
      </c>
      <c r="J205" s="388"/>
      <c r="K205" s="393"/>
      <c r="L205" s="232"/>
      <c r="M205" s="225"/>
      <c r="N205" s="233"/>
    </row>
    <row r="206" spans="1:14" s="220" customFormat="1">
      <c r="A206" s="187">
        <f t="shared" ref="A206:A236" si="3">A205+1</f>
        <v>195</v>
      </c>
      <c r="B206" s="405"/>
      <c r="C206" s="388" t="s">
        <v>1104</v>
      </c>
      <c r="D206" s="390"/>
      <c r="E206" s="388" t="s">
        <v>1081</v>
      </c>
      <c r="F206" s="389"/>
      <c r="G206" s="390"/>
      <c r="H206" s="190" t="s">
        <v>893</v>
      </c>
      <c r="I206" s="190" t="s">
        <v>316</v>
      </c>
      <c r="J206" s="388"/>
      <c r="K206" s="393"/>
      <c r="L206" s="232"/>
      <c r="M206" s="225"/>
      <c r="N206" s="233"/>
    </row>
    <row r="207" spans="1:14" s="220" customFormat="1">
      <c r="A207" s="187">
        <f t="shared" si="3"/>
        <v>196</v>
      </c>
      <c r="B207" s="405"/>
      <c r="C207" s="388" t="s">
        <v>1105</v>
      </c>
      <c r="D207" s="390"/>
      <c r="E207" s="388" t="s">
        <v>1081</v>
      </c>
      <c r="F207" s="423"/>
      <c r="G207" s="424"/>
      <c r="H207" s="190" t="s">
        <v>893</v>
      </c>
      <c r="I207" s="190" t="s">
        <v>316</v>
      </c>
      <c r="J207" s="388"/>
      <c r="K207" s="393"/>
      <c r="L207" s="232"/>
      <c r="M207" s="225"/>
      <c r="N207" s="233"/>
    </row>
    <row r="208" spans="1:14" s="220" customFormat="1" ht="10.5" customHeight="1">
      <c r="A208" s="187">
        <f t="shared" si="3"/>
        <v>197</v>
      </c>
      <c r="B208" s="406"/>
      <c r="C208" s="388" t="s">
        <v>1106</v>
      </c>
      <c r="D208" s="390"/>
      <c r="E208" s="388" t="s">
        <v>1081</v>
      </c>
      <c r="F208" s="389"/>
      <c r="G208" s="390"/>
      <c r="H208" s="190" t="s">
        <v>893</v>
      </c>
      <c r="I208" s="190" t="s">
        <v>316</v>
      </c>
      <c r="J208" s="388"/>
      <c r="K208" s="393"/>
      <c r="L208" s="232"/>
      <c r="M208" s="225"/>
      <c r="N208" s="233"/>
    </row>
    <row r="209" spans="1:14" s="220" customFormat="1" ht="11.25" customHeight="1">
      <c r="A209" s="187">
        <f t="shared" si="3"/>
        <v>198</v>
      </c>
      <c r="B209" s="425" t="s">
        <v>370</v>
      </c>
      <c r="C209" s="394" t="s">
        <v>1107</v>
      </c>
      <c r="D209" s="390"/>
      <c r="E209" s="394" t="s">
        <v>1108</v>
      </c>
      <c r="F209" s="389"/>
      <c r="G209" s="390"/>
      <c r="H209" s="190" t="s">
        <v>316</v>
      </c>
      <c r="I209" s="190" t="s">
        <v>316</v>
      </c>
      <c r="J209" s="388"/>
      <c r="K209" s="393"/>
      <c r="L209" s="232"/>
      <c r="M209" s="225"/>
      <c r="N209" s="233"/>
    </row>
    <row r="210" spans="1:14" s="220" customFormat="1" ht="11.25" customHeight="1">
      <c r="A210" s="187">
        <f t="shared" si="3"/>
        <v>199</v>
      </c>
      <c r="B210" s="405"/>
      <c r="C210" s="394" t="s">
        <v>1109</v>
      </c>
      <c r="D210" s="390"/>
      <c r="E210" s="394" t="s">
        <v>1110</v>
      </c>
      <c r="F210" s="389"/>
      <c r="G210" s="390"/>
      <c r="H210" s="190" t="s">
        <v>316</v>
      </c>
      <c r="I210" s="190" t="s">
        <v>316</v>
      </c>
      <c r="J210" s="388"/>
      <c r="K210" s="393"/>
      <c r="L210" s="232"/>
      <c r="M210" s="225"/>
      <c r="N210" s="233"/>
    </row>
    <row r="211" spans="1:14" s="220" customFormat="1" ht="11.25" customHeight="1">
      <c r="A211" s="187">
        <f t="shared" si="3"/>
        <v>200</v>
      </c>
      <c r="B211" s="405"/>
      <c r="C211" s="394" t="s">
        <v>1111</v>
      </c>
      <c r="D211" s="390"/>
      <c r="E211" s="394" t="s">
        <v>1112</v>
      </c>
      <c r="F211" s="389"/>
      <c r="G211" s="390"/>
      <c r="H211" s="190" t="s">
        <v>316</v>
      </c>
      <c r="I211" s="190" t="s">
        <v>316</v>
      </c>
      <c r="J211" s="388"/>
      <c r="K211" s="393"/>
      <c r="L211" s="232"/>
      <c r="M211" s="225"/>
      <c r="N211" s="233"/>
    </row>
    <row r="212" spans="1:14" s="220" customFormat="1" ht="11.25" customHeight="1">
      <c r="A212" s="187">
        <f t="shared" si="3"/>
        <v>201</v>
      </c>
      <c r="B212" s="405"/>
      <c r="C212" s="388" t="s">
        <v>1113</v>
      </c>
      <c r="D212" s="390"/>
      <c r="E212" s="388" t="s">
        <v>1114</v>
      </c>
      <c r="F212" s="389"/>
      <c r="G212" s="390"/>
      <c r="H212" s="190" t="s">
        <v>316</v>
      </c>
      <c r="I212" s="190" t="s">
        <v>316</v>
      </c>
      <c r="J212" s="388"/>
      <c r="K212" s="393"/>
      <c r="L212" s="232"/>
      <c r="M212" s="225"/>
      <c r="N212" s="233"/>
    </row>
    <row r="213" spans="1:14" s="220" customFormat="1" ht="12" customHeight="1">
      <c r="A213" s="187">
        <f t="shared" si="3"/>
        <v>202</v>
      </c>
      <c r="B213" s="405"/>
      <c r="C213" s="433"/>
      <c r="D213" s="390"/>
      <c r="E213" s="388" t="s">
        <v>1115</v>
      </c>
      <c r="F213" s="389"/>
      <c r="G213" s="390"/>
      <c r="H213" s="190" t="s">
        <v>316</v>
      </c>
      <c r="I213" s="190" t="s">
        <v>316</v>
      </c>
      <c r="J213" s="388"/>
      <c r="K213" s="393"/>
      <c r="L213" s="232"/>
      <c r="M213" s="225"/>
      <c r="N213" s="233"/>
    </row>
    <row r="214" spans="1:14" s="220" customFormat="1" ht="12" customHeight="1">
      <c r="A214" s="187">
        <f t="shared" si="3"/>
        <v>203</v>
      </c>
      <c r="B214" s="405"/>
      <c r="C214" s="433"/>
      <c r="D214" s="390"/>
      <c r="E214" s="388" t="s">
        <v>1116</v>
      </c>
      <c r="F214" s="389"/>
      <c r="G214" s="390"/>
      <c r="H214" s="190" t="s">
        <v>316</v>
      </c>
      <c r="I214" s="190" t="s">
        <v>316</v>
      </c>
      <c r="J214" s="388"/>
      <c r="K214" s="393"/>
      <c r="L214" s="232"/>
      <c r="M214" s="225"/>
      <c r="N214" s="233"/>
    </row>
    <row r="215" spans="1:14" s="220" customFormat="1" ht="12" customHeight="1">
      <c r="A215" s="187">
        <f t="shared" si="3"/>
        <v>204</v>
      </c>
      <c r="B215" s="405"/>
      <c r="C215" s="433"/>
      <c r="D215" s="390"/>
      <c r="E215" s="388" t="s">
        <v>1117</v>
      </c>
      <c r="F215" s="389"/>
      <c r="G215" s="390"/>
      <c r="H215" s="190" t="s">
        <v>316</v>
      </c>
      <c r="I215" s="190" t="s">
        <v>316</v>
      </c>
      <c r="J215" s="388"/>
      <c r="K215" s="393"/>
      <c r="L215" s="232"/>
      <c r="M215" s="225"/>
      <c r="N215" s="233"/>
    </row>
    <row r="216" spans="1:14" s="220" customFormat="1" ht="33.75" customHeight="1">
      <c r="A216" s="187">
        <f t="shared" si="3"/>
        <v>205</v>
      </c>
      <c r="B216" s="405"/>
      <c r="C216" s="388" t="s">
        <v>1118</v>
      </c>
      <c r="D216" s="390"/>
      <c r="E216" s="388" t="s">
        <v>1119</v>
      </c>
      <c r="F216" s="389"/>
      <c r="G216" s="390"/>
      <c r="H216" s="190" t="s">
        <v>316</v>
      </c>
      <c r="I216" s="190" t="s">
        <v>316</v>
      </c>
      <c r="J216" s="388"/>
      <c r="K216" s="393"/>
      <c r="L216" s="232"/>
      <c r="M216" s="225"/>
      <c r="N216" s="233"/>
    </row>
    <row r="217" spans="1:14" s="220" customFormat="1" ht="66.75" customHeight="1">
      <c r="A217" s="187">
        <f t="shared" si="3"/>
        <v>206</v>
      </c>
      <c r="B217" s="405"/>
      <c r="C217" s="388" t="s">
        <v>1120</v>
      </c>
      <c r="D217" s="390"/>
      <c r="E217" s="388" t="s">
        <v>1121</v>
      </c>
      <c r="F217" s="389"/>
      <c r="G217" s="390"/>
      <c r="H217" s="190" t="s">
        <v>316</v>
      </c>
      <c r="I217" s="190" t="s">
        <v>316</v>
      </c>
      <c r="J217" s="388"/>
      <c r="K217" s="393"/>
      <c r="L217" s="232"/>
      <c r="M217" s="225"/>
      <c r="N217" s="233"/>
    </row>
    <row r="218" spans="1:14" s="220" customFormat="1" ht="46.5" customHeight="1">
      <c r="A218" s="187">
        <f t="shared" si="3"/>
        <v>207</v>
      </c>
      <c r="B218" s="405"/>
      <c r="C218" s="433"/>
      <c r="D218" s="390"/>
      <c r="E218" s="388" t="s">
        <v>1122</v>
      </c>
      <c r="F218" s="389"/>
      <c r="G218" s="390"/>
      <c r="H218" s="190" t="s">
        <v>316</v>
      </c>
      <c r="I218" s="190" t="s">
        <v>316</v>
      </c>
      <c r="J218" s="388"/>
      <c r="K218" s="393"/>
      <c r="L218" s="232"/>
      <c r="M218" s="225"/>
      <c r="N218" s="233"/>
    </row>
    <row r="219" spans="1:14" s="220" customFormat="1" ht="22.5" customHeight="1">
      <c r="A219" s="187">
        <f t="shared" si="3"/>
        <v>208</v>
      </c>
      <c r="B219" s="405"/>
      <c r="C219" s="433"/>
      <c r="D219" s="390"/>
      <c r="E219" s="388" t="s">
        <v>1123</v>
      </c>
      <c r="F219" s="389"/>
      <c r="G219" s="390"/>
      <c r="H219" s="190" t="s">
        <v>893</v>
      </c>
      <c r="I219" s="190" t="s">
        <v>316</v>
      </c>
      <c r="J219" s="388"/>
      <c r="K219" s="393"/>
      <c r="L219" s="232"/>
      <c r="M219" s="225"/>
      <c r="N219" s="233"/>
    </row>
    <row r="220" spans="1:14" s="220" customFormat="1" ht="22.5" customHeight="1">
      <c r="A220" s="187">
        <f t="shared" si="3"/>
        <v>209</v>
      </c>
      <c r="B220" s="406"/>
      <c r="C220" s="433"/>
      <c r="D220" s="390"/>
      <c r="E220" s="388" t="s">
        <v>1124</v>
      </c>
      <c r="F220" s="389"/>
      <c r="G220" s="390"/>
      <c r="H220" s="190" t="s">
        <v>1125</v>
      </c>
      <c r="I220" s="190" t="s">
        <v>316</v>
      </c>
      <c r="J220" s="388" t="s">
        <v>1126</v>
      </c>
      <c r="K220" s="393"/>
      <c r="L220" s="232"/>
      <c r="M220" s="225"/>
      <c r="N220" s="233"/>
    </row>
    <row r="221" spans="1:14" s="220" customFormat="1" ht="46.5" customHeight="1">
      <c r="A221" s="187">
        <f t="shared" si="3"/>
        <v>210</v>
      </c>
      <c r="B221" s="425" t="s">
        <v>1127</v>
      </c>
      <c r="C221" s="388" t="s">
        <v>1128</v>
      </c>
      <c r="D221" s="390"/>
      <c r="E221" s="388" t="s">
        <v>1129</v>
      </c>
      <c r="F221" s="389"/>
      <c r="G221" s="390"/>
      <c r="H221" s="190" t="s">
        <v>316</v>
      </c>
      <c r="I221" s="190" t="s">
        <v>316</v>
      </c>
      <c r="J221" s="388"/>
      <c r="K221" s="393"/>
      <c r="L221" s="232"/>
      <c r="M221" s="225"/>
      <c r="N221" s="233"/>
    </row>
    <row r="222" spans="1:14" s="220" customFormat="1" ht="11.25" customHeight="1">
      <c r="A222" s="187">
        <f t="shared" si="3"/>
        <v>211</v>
      </c>
      <c r="B222" s="405"/>
      <c r="C222" s="433"/>
      <c r="D222" s="390"/>
      <c r="E222" s="388" t="s">
        <v>1130</v>
      </c>
      <c r="F222" s="389"/>
      <c r="G222" s="390"/>
      <c r="H222" s="190" t="s">
        <v>316</v>
      </c>
      <c r="I222" s="190" t="s">
        <v>316</v>
      </c>
      <c r="J222" s="388"/>
      <c r="K222" s="393"/>
      <c r="L222" s="232"/>
      <c r="M222" s="225"/>
      <c r="N222" s="233"/>
    </row>
    <row r="223" spans="1:14" s="220" customFormat="1" ht="24" customHeight="1">
      <c r="A223" s="187">
        <f t="shared" si="3"/>
        <v>212</v>
      </c>
      <c r="B223" s="405"/>
      <c r="C223" s="433"/>
      <c r="D223" s="390"/>
      <c r="E223" s="388" t="s">
        <v>1131</v>
      </c>
      <c r="F223" s="389"/>
      <c r="G223" s="390"/>
      <c r="H223" s="190" t="s">
        <v>316</v>
      </c>
      <c r="I223" s="190" t="s">
        <v>316</v>
      </c>
      <c r="J223" s="388"/>
      <c r="K223" s="393"/>
      <c r="L223" s="232"/>
      <c r="M223" s="225"/>
      <c r="N223" s="233"/>
    </row>
    <row r="224" spans="1:14" s="220" customFormat="1" ht="23.25" customHeight="1">
      <c r="A224" s="187">
        <f t="shared" si="3"/>
        <v>213</v>
      </c>
      <c r="B224" s="405"/>
      <c r="C224" s="433"/>
      <c r="D224" s="390"/>
      <c r="E224" s="388" t="s">
        <v>1132</v>
      </c>
      <c r="F224" s="389"/>
      <c r="G224" s="390"/>
      <c r="H224" s="190" t="s">
        <v>316</v>
      </c>
      <c r="I224" s="190" t="s">
        <v>316</v>
      </c>
      <c r="J224" s="388"/>
      <c r="K224" s="459"/>
      <c r="L224" s="232"/>
      <c r="M224" s="225"/>
      <c r="N224" s="233"/>
    </row>
    <row r="225" spans="1:14" s="220" customFormat="1" ht="22.5" customHeight="1">
      <c r="A225" s="187">
        <f t="shared" si="3"/>
        <v>214</v>
      </c>
      <c r="B225" s="405"/>
      <c r="C225" s="388" t="s">
        <v>1133</v>
      </c>
      <c r="D225" s="390"/>
      <c r="E225" s="388" t="s">
        <v>1134</v>
      </c>
      <c r="F225" s="389"/>
      <c r="G225" s="390"/>
      <c r="H225" s="190" t="s">
        <v>316</v>
      </c>
      <c r="I225" s="190" t="s">
        <v>316</v>
      </c>
      <c r="J225" s="388"/>
      <c r="K225" s="393"/>
      <c r="L225" s="232"/>
      <c r="M225" s="225"/>
      <c r="N225" s="233"/>
    </row>
    <row r="226" spans="1:14" s="220" customFormat="1" ht="28.5" customHeight="1">
      <c r="A226" s="187">
        <f t="shared" si="3"/>
        <v>215</v>
      </c>
      <c r="B226" s="405"/>
      <c r="C226" s="433"/>
      <c r="D226" s="390"/>
      <c r="E226" s="388" t="s">
        <v>1135</v>
      </c>
      <c r="F226" s="389"/>
      <c r="G226" s="390"/>
      <c r="H226" s="190" t="s">
        <v>316</v>
      </c>
      <c r="I226" s="190" t="s">
        <v>316</v>
      </c>
      <c r="J226" s="388"/>
      <c r="K226" s="393"/>
      <c r="L226" s="232"/>
      <c r="M226" s="225"/>
      <c r="N226" s="233"/>
    </row>
    <row r="227" spans="1:14" s="220" customFormat="1" ht="22.5" customHeight="1">
      <c r="A227" s="187">
        <f t="shared" si="3"/>
        <v>216</v>
      </c>
      <c r="B227" s="405"/>
      <c r="C227" s="433"/>
      <c r="D227" s="390"/>
      <c r="E227" s="388" t="s">
        <v>1136</v>
      </c>
      <c r="F227" s="389"/>
      <c r="G227" s="390"/>
      <c r="H227" s="190" t="s">
        <v>316</v>
      </c>
      <c r="I227" s="190" t="s">
        <v>316</v>
      </c>
      <c r="J227" s="388"/>
      <c r="K227" s="393"/>
      <c r="L227" s="232"/>
      <c r="M227" s="225"/>
      <c r="N227" s="233"/>
    </row>
    <row r="228" spans="1:14" s="220" customFormat="1" ht="22.5" customHeight="1">
      <c r="A228" s="187">
        <f t="shared" si="3"/>
        <v>217</v>
      </c>
      <c r="B228" s="405"/>
      <c r="C228" s="433"/>
      <c r="D228" s="390"/>
      <c r="E228" s="388" t="s">
        <v>1137</v>
      </c>
      <c r="F228" s="389"/>
      <c r="G228" s="390"/>
      <c r="H228" s="190" t="s">
        <v>316</v>
      </c>
      <c r="I228" s="190" t="s">
        <v>316</v>
      </c>
      <c r="J228" s="388"/>
      <c r="K228" s="393"/>
      <c r="L228" s="232"/>
      <c r="M228" s="225"/>
      <c r="N228" s="233"/>
    </row>
    <row r="229" spans="1:14" s="220" customFormat="1" ht="11.25" customHeight="1">
      <c r="A229" s="187">
        <f t="shared" si="3"/>
        <v>218</v>
      </c>
      <c r="B229" s="405"/>
      <c r="C229" s="388" t="s">
        <v>1138</v>
      </c>
      <c r="D229" s="390"/>
      <c r="E229" s="388" t="s">
        <v>1139</v>
      </c>
      <c r="F229" s="389"/>
      <c r="G229" s="390"/>
      <c r="H229" s="190" t="s">
        <v>316</v>
      </c>
      <c r="I229" s="190" t="s">
        <v>316</v>
      </c>
      <c r="J229" s="388"/>
      <c r="K229" s="393"/>
      <c r="L229" s="232"/>
      <c r="M229" s="225"/>
      <c r="N229" s="233"/>
    </row>
    <row r="230" spans="1:14" s="220" customFormat="1" ht="11.25" customHeight="1">
      <c r="A230" s="187">
        <f t="shared" si="3"/>
        <v>219</v>
      </c>
      <c r="B230" s="405"/>
      <c r="C230" s="433"/>
      <c r="D230" s="390"/>
      <c r="E230" s="388" t="s">
        <v>1140</v>
      </c>
      <c r="F230" s="389"/>
      <c r="G230" s="390"/>
      <c r="H230" s="190" t="s">
        <v>316</v>
      </c>
      <c r="I230" s="190" t="s">
        <v>316</v>
      </c>
      <c r="J230" s="388"/>
      <c r="K230" s="393"/>
      <c r="L230" s="232"/>
      <c r="M230" s="225"/>
      <c r="N230" s="233"/>
    </row>
    <row r="231" spans="1:14" s="220" customFormat="1" ht="26.25" customHeight="1">
      <c r="A231" s="187">
        <f t="shared" si="3"/>
        <v>220</v>
      </c>
      <c r="B231" s="405"/>
      <c r="C231" s="433"/>
      <c r="D231" s="390"/>
      <c r="E231" s="388" t="s">
        <v>1141</v>
      </c>
      <c r="F231" s="389"/>
      <c r="G231" s="390"/>
      <c r="H231" s="190" t="s">
        <v>316</v>
      </c>
      <c r="I231" s="190" t="s">
        <v>316</v>
      </c>
      <c r="J231" s="388"/>
      <c r="K231" s="393"/>
      <c r="L231" s="232"/>
      <c r="M231" s="225"/>
      <c r="N231" s="233"/>
    </row>
    <row r="232" spans="1:14" s="220" customFormat="1" ht="21.75" customHeight="1">
      <c r="A232" s="187">
        <f t="shared" si="3"/>
        <v>221</v>
      </c>
      <c r="B232" s="405"/>
      <c r="C232" s="433"/>
      <c r="D232" s="390"/>
      <c r="E232" s="388" t="s">
        <v>1142</v>
      </c>
      <c r="F232" s="389"/>
      <c r="G232" s="390"/>
      <c r="H232" s="190" t="s">
        <v>316</v>
      </c>
      <c r="I232" s="190" t="s">
        <v>316</v>
      </c>
      <c r="J232" s="388"/>
      <c r="K232" s="393"/>
      <c r="L232" s="232"/>
      <c r="M232" s="225"/>
      <c r="N232" s="233"/>
    </row>
    <row r="233" spans="1:14" s="220" customFormat="1" ht="30.75" customHeight="1">
      <c r="A233" s="187">
        <f t="shared" si="3"/>
        <v>222</v>
      </c>
      <c r="B233" s="405"/>
      <c r="C233" s="388" t="s">
        <v>1143</v>
      </c>
      <c r="D233" s="390"/>
      <c r="E233" s="388" t="s">
        <v>1144</v>
      </c>
      <c r="F233" s="389"/>
      <c r="G233" s="390"/>
      <c r="H233" s="190" t="s">
        <v>316</v>
      </c>
      <c r="I233" s="190" t="s">
        <v>316</v>
      </c>
      <c r="J233" s="388"/>
      <c r="K233" s="393"/>
      <c r="L233" s="232"/>
      <c r="M233" s="225"/>
      <c r="N233" s="233"/>
    </row>
    <row r="234" spans="1:14" s="220" customFormat="1" ht="30.75" customHeight="1">
      <c r="A234" s="187">
        <f t="shared" si="3"/>
        <v>223</v>
      </c>
      <c r="B234" s="405"/>
      <c r="C234" s="433"/>
      <c r="D234" s="390"/>
      <c r="E234" s="388" t="s">
        <v>1145</v>
      </c>
      <c r="F234" s="389"/>
      <c r="G234" s="390"/>
      <c r="H234" s="190" t="s">
        <v>316</v>
      </c>
      <c r="I234" s="190" t="s">
        <v>316</v>
      </c>
      <c r="J234" s="388"/>
      <c r="K234" s="393"/>
      <c r="L234" s="232"/>
      <c r="M234" s="225"/>
      <c r="N234" s="233"/>
    </row>
    <row r="235" spans="1:14" s="220" customFormat="1" ht="30.75" customHeight="1">
      <c r="A235" s="187">
        <f t="shared" si="3"/>
        <v>224</v>
      </c>
      <c r="B235" s="405"/>
      <c r="C235" s="433"/>
      <c r="D235" s="390"/>
      <c r="E235" s="388" t="s">
        <v>1146</v>
      </c>
      <c r="F235" s="389"/>
      <c r="G235" s="390"/>
      <c r="H235" s="190" t="s">
        <v>316</v>
      </c>
      <c r="I235" s="190" t="s">
        <v>316</v>
      </c>
      <c r="J235" s="388"/>
      <c r="K235" s="393"/>
      <c r="L235" s="232"/>
      <c r="M235" s="225"/>
      <c r="N235" s="233"/>
    </row>
    <row r="236" spans="1:14" s="220" customFormat="1" ht="30.75" customHeight="1">
      <c r="A236" s="217">
        <f t="shared" si="3"/>
        <v>225</v>
      </c>
      <c r="B236" s="449"/>
      <c r="C236" s="450"/>
      <c r="D236" s="411"/>
      <c r="E236" s="409" t="s">
        <v>1147</v>
      </c>
      <c r="F236" s="410"/>
      <c r="G236" s="411"/>
      <c r="H236" s="218" t="s">
        <v>316</v>
      </c>
      <c r="I236" s="218" t="s">
        <v>316</v>
      </c>
      <c r="J236" s="409"/>
      <c r="K236" s="461"/>
      <c r="L236" s="239"/>
      <c r="M236" s="228"/>
      <c r="N236" s="240"/>
    </row>
  </sheetData>
  <mergeCells count="601">
    <mergeCell ref="J221:K221"/>
    <mergeCell ref="J222:K222"/>
    <mergeCell ref="J233:K233"/>
    <mergeCell ref="J234:K234"/>
    <mergeCell ref="J235:K235"/>
    <mergeCell ref="J224:K224"/>
    <mergeCell ref="J225:K225"/>
    <mergeCell ref="J226:K226"/>
    <mergeCell ref="J227:K227"/>
    <mergeCell ref="J228:K228"/>
    <mergeCell ref="J229:K229"/>
    <mergeCell ref="J236:K236"/>
    <mergeCell ref="C58:F58"/>
    <mergeCell ref="A5:B5"/>
    <mergeCell ref="A7:B7"/>
    <mergeCell ref="K4:N4"/>
    <mergeCell ref="K5:N5"/>
    <mergeCell ref="K6:N6"/>
    <mergeCell ref="J230:K230"/>
    <mergeCell ref="J231:K231"/>
    <mergeCell ref="J232:K232"/>
    <mergeCell ref="J206:K206"/>
    <mergeCell ref="J207:K207"/>
    <mergeCell ref="J208:K208"/>
    <mergeCell ref="J209:K209"/>
    <mergeCell ref="J210:K210"/>
    <mergeCell ref="J211:K211"/>
    <mergeCell ref="J223:K223"/>
    <mergeCell ref="J212:K212"/>
    <mergeCell ref="J213:K213"/>
    <mergeCell ref="J214:K214"/>
    <mergeCell ref="J215:K215"/>
    <mergeCell ref="J216:K216"/>
    <mergeCell ref="J217:K217"/>
    <mergeCell ref="J218:K218"/>
    <mergeCell ref="J219:K219"/>
    <mergeCell ref="J220:K220"/>
    <mergeCell ref="J194:K194"/>
    <mergeCell ref="J195:K195"/>
    <mergeCell ref="J196:K196"/>
    <mergeCell ref="J197:K197"/>
    <mergeCell ref="J198:K198"/>
    <mergeCell ref="J199:K199"/>
    <mergeCell ref="J200:K200"/>
    <mergeCell ref="J201:K201"/>
    <mergeCell ref="J202:K202"/>
    <mergeCell ref="J203:K203"/>
    <mergeCell ref="J204:K204"/>
    <mergeCell ref="J205:K205"/>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58:K158"/>
    <mergeCell ref="J159:K159"/>
    <mergeCell ref="J160:K160"/>
    <mergeCell ref="J162:K162"/>
    <mergeCell ref="J163:K163"/>
    <mergeCell ref="J161:K161"/>
    <mergeCell ref="J164:K164"/>
    <mergeCell ref="J165:K165"/>
    <mergeCell ref="J167:K167"/>
    <mergeCell ref="J166:K166"/>
    <mergeCell ref="J168:K168"/>
    <mergeCell ref="J169:K169"/>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05:K105"/>
    <mergeCell ref="J106:K106"/>
    <mergeCell ref="J107:K107"/>
    <mergeCell ref="J108:K108"/>
    <mergeCell ref="J109:K109"/>
    <mergeCell ref="J100:K100"/>
    <mergeCell ref="J101:K101"/>
    <mergeCell ref="J102:K102"/>
    <mergeCell ref="J87:K87"/>
    <mergeCell ref="J88:K88"/>
    <mergeCell ref="J89:K89"/>
    <mergeCell ref="J90:K90"/>
    <mergeCell ref="J91:K91"/>
    <mergeCell ref="J104:K104"/>
    <mergeCell ref="J103:K103"/>
    <mergeCell ref="J92:K92"/>
    <mergeCell ref="J93:K93"/>
    <mergeCell ref="J94:K94"/>
    <mergeCell ref="J95:K95"/>
    <mergeCell ref="J96:K96"/>
    <mergeCell ref="J97:K97"/>
    <mergeCell ref="J98:K98"/>
    <mergeCell ref="J99:K99"/>
    <mergeCell ref="J75:K75"/>
    <mergeCell ref="J76:K76"/>
    <mergeCell ref="J77:K77"/>
    <mergeCell ref="J78:K78"/>
    <mergeCell ref="J79:K79"/>
    <mergeCell ref="J80:K80"/>
    <mergeCell ref="J81:K81"/>
    <mergeCell ref="J82:K82"/>
    <mergeCell ref="J83:K83"/>
    <mergeCell ref="J84:K84"/>
    <mergeCell ref="J85:K85"/>
    <mergeCell ref="J86:K86"/>
    <mergeCell ref="J63:K63"/>
    <mergeCell ref="J64:K64"/>
    <mergeCell ref="J65:K65"/>
    <mergeCell ref="J66:K66"/>
    <mergeCell ref="J67:K67"/>
    <mergeCell ref="J68:K68"/>
    <mergeCell ref="J69:K69"/>
    <mergeCell ref="J70:K70"/>
    <mergeCell ref="J71:K71"/>
    <mergeCell ref="J72:K72"/>
    <mergeCell ref="J73:K73"/>
    <mergeCell ref="J74:K74"/>
    <mergeCell ref="J50:K50"/>
    <mergeCell ref="J51:K51"/>
    <mergeCell ref="J52:K52"/>
    <mergeCell ref="J53:K53"/>
    <mergeCell ref="J54:K54"/>
    <mergeCell ref="J55:K55"/>
    <mergeCell ref="J56:K56"/>
    <mergeCell ref="J57:K57"/>
    <mergeCell ref="J58:K58"/>
    <mergeCell ref="J59:K59"/>
    <mergeCell ref="J60:K60"/>
    <mergeCell ref="J62:K62"/>
    <mergeCell ref="J61:K61"/>
    <mergeCell ref="J47:K47"/>
    <mergeCell ref="J48:K48"/>
    <mergeCell ref="J49:K49"/>
    <mergeCell ref="J38:K38"/>
    <mergeCell ref="J39:K39"/>
    <mergeCell ref="J40:K40"/>
    <mergeCell ref="J41:K41"/>
    <mergeCell ref="J42:K42"/>
    <mergeCell ref="J43:K43"/>
    <mergeCell ref="J26:K26"/>
    <mergeCell ref="J27:K27"/>
    <mergeCell ref="J28:K28"/>
    <mergeCell ref="J29:K29"/>
    <mergeCell ref="J30:K30"/>
    <mergeCell ref="J31:K31"/>
    <mergeCell ref="C76:D79"/>
    <mergeCell ref="J32:K32"/>
    <mergeCell ref="J33:K33"/>
    <mergeCell ref="J34:K34"/>
    <mergeCell ref="J35:K35"/>
    <mergeCell ref="J36:K36"/>
    <mergeCell ref="J37:K37"/>
    <mergeCell ref="J44:K44"/>
    <mergeCell ref="J45:K45"/>
    <mergeCell ref="J46:K46"/>
    <mergeCell ref="C83:D87"/>
    <mergeCell ref="C88:D92"/>
    <mergeCell ref="C93:D93"/>
    <mergeCell ref="C94:D94"/>
    <mergeCell ref="C105:D106"/>
    <mergeCell ref="C107:D108"/>
    <mergeCell ref="C95:D99"/>
    <mergeCell ref="C141:D145"/>
    <mergeCell ref="C146:D148"/>
    <mergeCell ref="C149:D150"/>
    <mergeCell ref="C109:D110"/>
    <mergeCell ref="C111:D111"/>
    <mergeCell ref="C112:D112"/>
    <mergeCell ref="C113:D113"/>
    <mergeCell ref="C114:D114"/>
    <mergeCell ref="C115:D115"/>
    <mergeCell ref="C116:D116"/>
    <mergeCell ref="J20:K20"/>
    <mergeCell ref="J21:K21"/>
    <mergeCell ref="J22:K22"/>
    <mergeCell ref="J23:K23"/>
    <mergeCell ref="J24:K24"/>
    <mergeCell ref="J25:K25"/>
    <mergeCell ref="C117:D120"/>
    <mergeCell ref="C121:D121"/>
    <mergeCell ref="C122:D122"/>
    <mergeCell ref="C126:D126"/>
    <mergeCell ref="C127:D132"/>
    <mergeCell ref="C125:D125"/>
    <mergeCell ref="J15:K15"/>
    <mergeCell ref="J16:K16"/>
    <mergeCell ref="J17:K17"/>
    <mergeCell ref="J18:K18"/>
    <mergeCell ref="J19:K19"/>
    <mergeCell ref="C133:D138"/>
    <mergeCell ref="E124:G124"/>
    <mergeCell ref="E125:G125"/>
    <mergeCell ref="E126:G126"/>
    <mergeCell ref="E127:G127"/>
    <mergeCell ref="C80:D82"/>
    <mergeCell ref="C73:D73"/>
    <mergeCell ref="C74:D74"/>
    <mergeCell ref="C75:D75"/>
    <mergeCell ref="C59:D59"/>
    <mergeCell ref="C60:D60"/>
    <mergeCell ref="C61:D62"/>
    <mergeCell ref="C63:D63"/>
    <mergeCell ref="C64:D64"/>
    <mergeCell ref="C65:D66"/>
    <mergeCell ref="C68:D69"/>
    <mergeCell ref="C70:D70"/>
    <mergeCell ref="C71:D71"/>
    <mergeCell ref="C72:D72"/>
    <mergeCell ref="C52:D53"/>
    <mergeCell ref="C30:D31"/>
    <mergeCell ref="C32:D36"/>
    <mergeCell ref="C37:D40"/>
    <mergeCell ref="C67:D67"/>
    <mergeCell ref="E22:G22"/>
    <mergeCell ref="E23:G23"/>
    <mergeCell ref="C24:D24"/>
    <mergeCell ref="C41:D41"/>
    <mergeCell ref="C42:D47"/>
    <mergeCell ref="C48:D51"/>
    <mergeCell ref="C25:D29"/>
    <mergeCell ref="E31:G31"/>
    <mergeCell ref="E28:G28"/>
    <mergeCell ref="E29:G29"/>
    <mergeCell ref="E19:G19"/>
    <mergeCell ref="E20:G20"/>
    <mergeCell ref="E21:G21"/>
    <mergeCell ref="E14:G14"/>
    <mergeCell ref="E15:G15"/>
    <mergeCell ref="E16:G16"/>
    <mergeCell ref="E17:G17"/>
    <mergeCell ref="C225:D228"/>
    <mergeCell ref="C229:D232"/>
    <mergeCell ref="C233:D236"/>
    <mergeCell ref="C204:D204"/>
    <mergeCell ref="E12:G12"/>
    <mergeCell ref="E13:G13"/>
    <mergeCell ref="C12:D16"/>
    <mergeCell ref="C17:D20"/>
    <mergeCell ref="C21:D23"/>
    <mergeCell ref="E18:G18"/>
    <mergeCell ref="B209:B220"/>
    <mergeCell ref="C207:D207"/>
    <mergeCell ref="C208:D208"/>
    <mergeCell ref="C209:D209"/>
    <mergeCell ref="C210:D210"/>
    <mergeCell ref="C211:D211"/>
    <mergeCell ref="C212:D215"/>
    <mergeCell ref="B123:B208"/>
    <mergeCell ref="C185:D185"/>
    <mergeCell ref="C186:D186"/>
    <mergeCell ref="B221:B236"/>
    <mergeCell ref="C187:D187"/>
    <mergeCell ref="C189:D189"/>
    <mergeCell ref="C190:D191"/>
    <mergeCell ref="C192:D193"/>
    <mergeCell ref="C194:D196"/>
    <mergeCell ref="C197:D198"/>
    <mergeCell ref="C199:D199"/>
    <mergeCell ref="C200:D200"/>
    <mergeCell ref="C201:D201"/>
    <mergeCell ref="C203:D203"/>
    <mergeCell ref="C158:D163"/>
    <mergeCell ref="C164:D169"/>
    <mergeCell ref="C154:G154"/>
    <mergeCell ref="C54:D54"/>
    <mergeCell ref="C55:D55"/>
    <mergeCell ref="C56:D56"/>
    <mergeCell ref="C57:D57"/>
    <mergeCell ref="C172:D176"/>
    <mergeCell ref="C177:D179"/>
    <mergeCell ref="C205:D205"/>
    <mergeCell ref="C206:D206"/>
    <mergeCell ref="C216:D216"/>
    <mergeCell ref="C217:D220"/>
    <mergeCell ref="C221:D224"/>
    <mergeCell ref="C180:D181"/>
    <mergeCell ref="C182:D182"/>
    <mergeCell ref="C183:D183"/>
    <mergeCell ref="C184:D184"/>
    <mergeCell ref="C202:D202"/>
    <mergeCell ref="E160:G160"/>
    <mergeCell ref="C170:D171"/>
    <mergeCell ref="E145:G145"/>
    <mergeCell ref="E146:G146"/>
    <mergeCell ref="E153:G153"/>
    <mergeCell ref="E32:G32"/>
    <mergeCell ref="C155:D155"/>
    <mergeCell ref="C156:D156"/>
    <mergeCell ref="C157:D157"/>
    <mergeCell ref="C153:D153"/>
    <mergeCell ref="E112:G112"/>
    <mergeCell ref="E113:G113"/>
    <mergeCell ref="H133:H140"/>
    <mergeCell ref="E139:G139"/>
    <mergeCell ref="E148:G148"/>
    <mergeCell ref="E149:G149"/>
    <mergeCell ref="E140:G140"/>
    <mergeCell ref="E141:G141"/>
    <mergeCell ref="E133:G133"/>
    <mergeCell ref="E134:G134"/>
    <mergeCell ref="E64:F64"/>
    <mergeCell ref="E65:F65"/>
    <mergeCell ref="H180:H181"/>
    <mergeCell ref="E51:G51"/>
    <mergeCell ref="E52:G52"/>
    <mergeCell ref="C123:G123"/>
    <mergeCell ref="C124:D124"/>
    <mergeCell ref="H164:H171"/>
    <mergeCell ref="E89:F89"/>
    <mergeCell ref="H149:H150"/>
    <mergeCell ref="E57:G57"/>
    <mergeCell ref="E59:F59"/>
    <mergeCell ref="E60:F60"/>
    <mergeCell ref="E61:F61"/>
    <mergeCell ref="E62:F62"/>
    <mergeCell ref="E63:F63"/>
    <mergeCell ref="H177:H179"/>
    <mergeCell ref="I177:I179"/>
    <mergeCell ref="E49:G49"/>
    <mergeCell ref="E50:G50"/>
    <mergeCell ref="E53:G53"/>
    <mergeCell ref="E54:G54"/>
    <mergeCell ref="E55:G55"/>
    <mergeCell ref="E56:G56"/>
    <mergeCell ref="H172:H176"/>
    <mergeCell ref="I172:I176"/>
    <mergeCell ref="E85:F85"/>
    <mergeCell ref="E86:F86"/>
    <mergeCell ref="E87:F87"/>
    <mergeCell ref="E88:F88"/>
    <mergeCell ref="I180:I181"/>
    <mergeCell ref="E41:G41"/>
    <mergeCell ref="E42:G42"/>
    <mergeCell ref="E43:G43"/>
    <mergeCell ref="E44:G44"/>
    <mergeCell ref="E48:G48"/>
    <mergeCell ref="I158:I163"/>
    <mergeCell ref="E74:F74"/>
    <mergeCell ref="E75:F75"/>
    <mergeCell ref="E76:F76"/>
    <mergeCell ref="E77:E79"/>
    <mergeCell ref="E80:F80"/>
    <mergeCell ref="E81:F81"/>
    <mergeCell ref="E82:F82"/>
    <mergeCell ref="E83:F83"/>
    <mergeCell ref="E84:F84"/>
    <mergeCell ref="I164:I169"/>
    <mergeCell ref="E66:F66"/>
    <mergeCell ref="E67:F67"/>
    <mergeCell ref="E68:F68"/>
    <mergeCell ref="E69:F69"/>
    <mergeCell ref="E70:F70"/>
    <mergeCell ref="E71:F71"/>
    <mergeCell ref="E72:F72"/>
    <mergeCell ref="E73:F73"/>
    <mergeCell ref="H158:H163"/>
    <mergeCell ref="E104:G104"/>
    <mergeCell ref="E105:G105"/>
    <mergeCell ref="H141:H145"/>
    <mergeCell ref="I141:I145"/>
    <mergeCell ref="E106:G106"/>
    <mergeCell ref="E107:G107"/>
    <mergeCell ref="E108:G108"/>
    <mergeCell ref="E109:G109"/>
    <mergeCell ref="E110:G110"/>
    <mergeCell ref="E111:G111"/>
    <mergeCell ref="E96:F96"/>
    <mergeCell ref="E97:F97"/>
    <mergeCell ref="H146:H148"/>
    <mergeCell ref="I146:I148"/>
    <mergeCell ref="E98:F98"/>
    <mergeCell ref="E99:F99"/>
    <mergeCell ref="E100:F100"/>
    <mergeCell ref="E101:G101"/>
    <mergeCell ref="E102:G102"/>
    <mergeCell ref="E103:G103"/>
    <mergeCell ref="E90:F90"/>
    <mergeCell ref="E91:F91"/>
    <mergeCell ref="E92:F92"/>
    <mergeCell ref="E94:F94"/>
    <mergeCell ref="E93:F93"/>
    <mergeCell ref="E95:F95"/>
    <mergeCell ref="E120:G120"/>
    <mergeCell ref="E121:G121"/>
    <mergeCell ref="H127:H132"/>
    <mergeCell ref="I127:I132"/>
    <mergeCell ref="E122:G122"/>
    <mergeCell ref="E128:G128"/>
    <mergeCell ref="E129:G129"/>
    <mergeCell ref="E130:G130"/>
    <mergeCell ref="E114:G114"/>
    <mergeCell ref="E115:G115"/>
    <mergeCell ref="E116:G116"/>
    <mergeCell ref="E117:G117"/>
    <mergeCell ref="E118:G118"/>
    <mergeCell ref="E119:G119"/>
    <mergeCell ref="E152:G152"/>
    <mergeCell ref="E155:G155"/>
    <mergeCell ref="C151:D151"/>
    <mergeCell ref="C152:D152"/>
    <mergeCell ref="C139:D140"/>
    <mergeCell ref="I133:I138"/>
    <mergeCell ref="E138:G138"/>
    <mergeCell ref="I149:I150"/>
    <mergeCell ref="E135:G135"/>
    <mergeCell ref="E136:G136"/>
    <mergeCell ref="E156:G156"/>
    <mergeCell ref="E157:G157"/>
    <mergeCell ref="B109:B114"/>
    <mergeCell ref="B115:B122"/>
    <mergeCell ref="E142:G142"/>
    <mergeCell ref="E143:G143"/>
    <mergeCell ref="E144:G144"/>
    <mergeCell ref="E131:G131"/>
    <mergeCell ref="E132:G132"/>
    <mergeCell ref="E137:G137"/>
    <mergeCell ref="E165:G165"/>
    <mergeCell ref="B101:B104"/>
    <mergeCell ref="C100:D100"/>
    <mergeCell ref="C101:D103"/>
    <mergeCell ref="C104:D104"/>
    <mergeCell ref="E150:G150"/>
    <mergeCell ref="E151:G151"/>
    <mergeCell ref="B105:B108"/>
    <mergeCell ref="E158:G158"/>
    <mergeCell ref="E159:G159"/>
    <mergeCell ref="E147:G147"/>
    <mergeCell ref="E168:G168"/>
    <mergeCell ref="E169:G169"/>
    <mergeCell ref="E170:G170"/>
    <mergeCell ref="E172:G172"/>
    <mergeCell ref="E178:G178"/>
    <mergeCell ref="E161:G161"/>
    <mergeCell ref="E163:G163"/>
    <mergeCell ref="E177:G177"/>
    <mergeCell ref="E164:G164"/>
    <mergeCell ref="E166:G166"/>
    <mergeCell ref="E167:G167"/>
    <mergeCell ref="E179:G179"/>
    <mergeCell ref="E180:G180"/>
    <mergeCell ref="E181:G181"/>
    <mergeCell ref="E182:G182"/>
    <mergeCell ref="E171:G171"/>
    <mergeCell ref="E173:G173"/>
    <mergeCell ref="E174:G174"/>
    <mergeCell ref="E175:G175"/>
    <mergeCell ref="E176:G176"/>
    <mergeCell ref="E200:G200"/>
    <mergeCell ref="E183:G183"/>
    <mergeCell ref="E184:G184"/>
    <mergeCell ref="E185:G185"/>
    <mergeCell ref="E186:G186"/>
    <mergeCell ref="E201:G201"/>
    <mergeCell ref="E196:G196"/>
    <mergeCell ref="E189:G189"/>
    <mergeCell ref="E187:G187"/>
    <mergeCell ref="E190:G190"/>
    <mergeCell ref="E191:G191"/>
    <mergeCell ref="E193:G193"/>
    <mergeCell ref="E199:G199"/>
    <mergeCell ref="C188:G188"/>
    <mergeCell ref="E212:G212"/>
    <mergeCell ref="B52:B57"/>
    <mergeCell ref="E202:G202"/>
    <mergeCell ref="E203:G203"/>
    <mergeCell ref="E204:G204"/>
    <mergeCell ref="E205:G205"/>
    <mergeCell ref="E206:G206"/>
    <mergeCell ref="B58:B99"/>
    <mergeCell ref="E192:G192"/>
    <mergeCell ref="E197:G197"/>
    <mergeCell ref="E233:G233"/>
    <mergeCell ref="E234:G234"/>
    <mergeCell ref="E235:G235"/>
    <mergeCell ref="E218:G218"/>
    <mergeCell ref="E207:G207"/>
    <mergeCell ref="E208:G208"/>
    <mergeCell ref="E209:G209"/>
    <mergeCell ref="E210:G210"/>
    <mergeCell ref="E211:G211"/>
    <mergeCell ref="E219:G219"/>
    <mergeCell ref="E222:G222"/>
    <mergeCell ref="E223:G223"/>
    <mergeCell ref="E213:G213"/>
    <mergeCell ref="E214:G214"/>
    <mergeCell ref="E215:G215"/>
    <mergeCell ref="E216:G216"/>
    <mergeCell ref="E217:G217"/>
    <mergeCell ref="E27:G27"/>
    <mergeCell ref="E226:G226"/>
    <mergeCell ref="E227:G227"/>
    <mergeCell ref="E228:G228"/>
    <mergeCell ref="E232:G232"/>
    <mergeCell ref="E231:G231"/>
    <mergeCell ref="E229:G229"/>
    <mergeCell ref="E230:G230"/>
    <mergeCell ref="E220:G220"/>
    <mergeCell ref="E221:G221"/>
    <mergeCell ref="E37:G37"/>
    <mergeCell ref="E236:G236"/>
    <mergeCell ref="J10:K11"/>
    <mergeCell ref="E4:J4"/>
    <mergeCell ref="E5:J5"/>
    <mergeCell ref="E6:J6"/>
    <mergeCell ref="E7:J7"/>
    <mergeCell ref="E8:J8"/>
    <mergeCell ref="E224:G224"/>
    <mergeCell ref="E225:G225"/>
    <mergeCell ref="E46:G46"/>
    <mergeCell ref="E47:G47"/>
    <mergeCell ref="E30:G30"/>
    <mergeCell ref="E24:G24"/>
    <mergeCell ref="E25:G25"/>
    <mergeCell ref="E26:G26"/>
    <mergeCell ref="E40:G40"/>
    <mergeCell ref="E33:G33"/>
    <mergeCell ref="E34:G34"/>
    <mergeCell ref="E35:G35"/>
    <mergeCell ref="A2:B2"/>
    <mergeCell ref="A3:B3"/>
    <mergeCell ref="C2:D2"/>
    <mergeCell ref="C3:D3"/>
    <mergeCell ref="I10:I11"/>
    <mergeCell ref="E38:G38"/>
    <mergeCell ref="E10:G11"/>
    <mergeCell ref="B12:B51"/>
    <mergeCell ref="H30:H31"/>
    <mergeCell ref="E45:G45"/>
    <mergeCell ref="L10:N10"/>
    <mergeCell ref="H10:H11"/>
    <mergeCell ref="A10:A11"/>
    <mergeCell ref="B10:B11"/>
    <mergeCell ref="C10:D11"/>
    <mergeCell ref="E39:G39"/>
    <mergeCell ref="J12:K12"/>
    <mergeCell ref="J13:K13"/>
    <mergeCell ref="J14:K14"/>
    <mergeCell ref="E36:G36"/>
  </mergeCells>
  <phoneticPr fontId="48"/>
  <pageMargins left="0.25" right="0.25" top="0.45" bottom="0.49" header="0.3" footer="0.3"/>
  <pageSetup paperSize="9" scale="65" fitToHeight="0" orientation="landscape"/>
  <headerFooter>
    <oddFooter>&amp;C&amp;P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2BC0-9592-3E49-9E70-92C9C2391F7B}">
  <sheetPr>
    <pageSetUpPr fitToPage="1"/>
  </sheetPr>
  <dimension ref="A1:AI33"/>
  <sheetViews>
    <sheetView zoomScale="85" zoomScaleNormal="85" workbookViewId="0">
      <selection sqref="A1:D2"/>
    </sheetView>
  </sheetViews>
  <sheetFormatPr baseColWidth="10" defaultColWidth="9" defaultRowHeight="14"/>
  <cols>
    <col min="1" max="1" width="2.83203125" style="146" customWidth="1"/>
    <col min="2" max="2" width="1.6640625" style="146" customWidth="1"/>
    <col min="3" max="3" width="3.6640625" style="146" customWidth="1"/>
    <col min="4" max="4" width="6.33203125" style="146" customWidth="1"/>
    <col min="5" max="5" width="6.1640625" style="146" customWidth="1"/>
    <col min="6" max="6" width="6.83203125" style="146" customWidth="1"/>
    <col min="7" max="7" width="5.6640625" style="146" customWidth="1"/>
    <col min="8" max="8" width="27.5" style="146" customWidth="1"/>
    <col min="9" max="9" width="3.5" style="148" customWidth="1"/>
    <col min="10" max="31" width="2.5" style="148" customWidth="1"/>
    <col min="32" max="32" width="9" style="146"/>
    <col min="33" max="33" width="14.83203125" style="146" customWidth="1"/>
    <col min="34" max="34" width="9" style="146"/>
    <col min="35" max="35" width="16" style="146" customWidth="1"/>
    <col min="36" max="36" width="12.5" style="146" customWidth="1"/>
    <col min="37" max="37" width="19.6640625" style="146" customWidth="1"/>
    <col min="38" max="16384" width="9" style="146"/>
  </cols>
  <sheetData>
    <row r="1" spans="1:31" s="119" customFormat="1" ht="16.5" customHeight="1">
      <c r="A1" s="485" t="s">
        <v>1148</v>
      </c>
      <c r="B1" s="486"/>
      <c r="C1" s="486"/>
      <c r="D1" s="487"/>
      <c r="E1" s="470" t="s">
        <v>1149</v>
      </c>
      <c r="F1" s="471"/>
      <c r="G1" s="472"/>
      <c r="H1" s="470" t="s">
        <v>1150</v>
      </c>
      <c r="I1" s="471"/>
      <c r="J1" s="471"/>
      <c r="K1" s="471"/>
      <c r="L1" s="471"/>
      <c r="M1" s="470" t="s">
        <v>1151</v>
      </c>
      <c r="N1" s="471"/>
      <c r="O1" s="471"/>
      <c r="P1" s="471"/>
      <c r="Q1" s="471"/>
      <c r="R1" s="471"/>
      <c r="S1" s="471"/>
      <c r="T1" s="471"/>
      <c r="U1" s="471"/>
      <c r="V1" s="471"/>
      <c r="W1" s="472"/>
      <c r="X1" s="473" t="s">
        <v>282</v>
      </c>
      <c r="Y1" s="473"/>
      <c r="Z1" s="473"/>
      <c r="AA1" s="473"/>
      <c r="AB1" s="473"/>
      <c r="AC1" s="473" t="s">
        <v>1152</v>
      </c>
      <c r="AD1" s="473"/>
      <c r="AE1" s="478"/>
    </row>
    <row r="2" spans="1:31" s="119" customFormat="1" ht="125.25" customHeight="1">
      <c r="A2" s="488"/>
      <c r="B2" s="489"/>
      <c r="C2" s="489"/>
      <c r="D2" s="490"/>
      <c r="E2" s="467" t="s">
        <v>1153</v>
      </c>
      <c r="F2" s="468"/>
      <c r="G2" s="479"/>
      <c r="H2" s="467" t="s">
        <v>1154</v>
      </c>
      <c r="I2" s="468"/>
      <c r="J2" s="468"/>
      <c r="K2" s="468"/>
      <c r="L2" s="468"/>
      <c r="M2" s="480" t="s">
        <v>1155</v>
      </c>
      <c r="N2" s="481"/>
      <c r="O2" s="481"/>
      <c r="P2" s="481"/>
      <c r="Q2" s="481"/>
      <c r="R2" s="481"/>
      <c r="S2" s="481"/>
      <c r="T2" s="481"/>
      <c r="U2" s="481"/>
      <c r="V2" s="481"/>
      <c r="W2" s="482"/>
      <c r="X2" s="466" t="s">
        <v>1156</v>
      </c>
      <c r="Y2" s="466"/>
      <c r="Z2" s="466"/>
      <c r="AA2" s="466"/>
      <c r="AB2" s="466"/>
      <c r="AC2" s="467"/>
      <c r="AD2" s="468"/>
      <c r="AE2" s="469"/>
    </row>
    <row r="3" spans="1:31" s="122" customFormat="1" ht="48.75" customHeight="1">
      <c r="A3" s="491" t="s">
        <v>1157</v>
      </c>
      <c r="B3" s="492"/>
      <c r="C3" s="493"/>
      <c r="D3" s="493"/>
      <c r="E3" s="493"/>
      <c r="F3" s="493"/>
      <c r="G3" s="493"/>
      <c r="H3" s="494"/>
      <c r="I3" s="120" t="s">
        <v>1158</v>
      </c>
      <c r="J3" s="120" t="s">
        <v>1159</v>
      </c>
      <c r="K3" s="120" t="s">
        <v>1160</v>
      </c>
      <c r="L3" s="120" t="s">
        <v>1161</v>
      </c>
      <c r="M3" s="120" t="s">
        <v>1162</v>
      </c>
      <c r="N3" s="120" t="s">
        <v>1163</v>
      </c>
      <c r="O3" s="120" t="s">
        <v>1164</v>
      </c>
      <c r="P3" s="120" t="s">
        <v>1165</v>
      </c>
      <c r="Q3" s="120" t="s">
        <v>1166</v>
      </c>
      <c r="R3" s="120" t="s">
        <v>1167</v>
      </c>
      <c r="S3" s="120"/>
      <c r="T3" s="120"/>
      <c r="U3" s="120"/>
      <c r="V3" s="120"/>
      <c r="W3" s="120"/>
      <c r="X3" s="120"/>
      <c r="Y3" s="120"/>
      <c r="Z3" s="120"/>
      <c r="AA3" s="120"/>
      <c r="AB3" s="120"/>
      <c r="AC3" s="120"/>
      <c r="AD3" s="120"/>
      <c r="AE3" s="121"/>
    </row>
    <row r="4" spans="1:31" s="122" customFormat="1">
      <c r="A4" s="474" t="s">
        <v>1168</v>
      </c>
      <c r="B4" s="475" t="s">
        <v>1169</v>
      </c>
      <c r="C4" s="476"/>
      <c r="D4" s="476"/>
      <c r="E4" s="476"/>
      <c r="F4" s="476"/>
      <c r="G4" s="476"/>
      <c r="H4" s="477"/>
      <c r="I4" s="123" t="s">
        <v>451</v>
      </c>
      <c r="J4" s="123"/>
      <c r="K4" s="123" t="s">
        <v>451</v>
      </c>
      <c r="L4" s="123"/>
      <c r="M4" s="123" t="s">
        <v>451</v>
      </c>
      <c r="N4" s="123"/>
      <c r="O4" s="123" t="s">
        <v>451</v>
      </c>
      <c r="P4" s="124"/>
      <c r="Q4" s="123" t="s">
        <v>451</v>
      </c>
      <c r="R4" s="124"/>
      <c r="S4" s="124"/>
      <c r="T4" s="124"/>
      <c r="U4" s="124"/>
      <c r="V4" s="124"/>
      <c r="W4" s="124"/>
      <c r="X4" s="124"/>
      <c r="Y4" s="125"/>
      <c r="Z4" s="125"/>
      <c r="AA4" s="125"/>
      <c r="AB4" s="125"/>
      <c r="AC4" s="125"/>
      <c r="AD4" s="125"/>
      <c r="AE4" s="126"/>
    </row>
    <row r="5" spans="1:31" s="122" customFormat="1" ht="13.5" customHeight="1">
      <c r="A5" s="474"/>
      <c r="B5" s="475" t="s">
        <v>1170</v>
      </c>
      <c r="C5" s="476"/>
      <c r="D5" s="476"/>
      <c r="E5" s="476"/>
      <c r="F5" s="476"/>
      <c r="G5" s="476"/>
      <c r="H5" s="477"/>
      <c r="I5" s="123"/>
      <c r="J5" s="123" t="s">
        <v>451</v>
      </c>
      <c r="K5" s="123"/>
      <c r="L5" s="123" t="s">
        <v>451</v>
      </c>
      <c r="M5" s="123"/>
      <c r="N5" s="123" t="s">
        <v>451</v>
      </c>
      <c r="O5" s="124"/>
      <c r="P5" s="123" t="s">
        <v>451</v>
      </c>
      <c r="Q5" s="124"/>
      <c r="R5" s="123" t="s">
        <v>451</v>
      </c>
      <c r="S5" s="124"/>
      <c r="T5" s="124"/>
      <c r="U5" s="124"/>
      <c r="V5" s="124"/>
      <c r="W5" s="124"/>
      <c r="X5" s="124"/>
      <c r="Y5" s="125"/>
      <c r="Z5" s="125"/>
      <c r="AA5" s="125"/>
      <c r="AB5" s="125"/>
      <c r="AC5" s="125"/>
      <c r="AD5" s="125"/>
      <c r="AE5" s="126"/>
    </row>
    <row r="6" spans="1:31" s="122" customFormat="1">
      <c r="A6" s="474"/>
      <c r="B6" s="475"/>
      <c r="C6" s="476"/>
      <c r="D6" s="476"/>
      <c r="E6" s="476"/>
      <c r="F6" s="476"/>
      <c r="G6" s="476"/>
      <c r="H6" s="477"/>
      <c r="I6" s="123"/>
      <c r="J6" s="123"/>
      <c r="K6" s="123"/>
      <c r="L6" s="123"/>
      <c r="M6" s="123"/>
      <c r="N6" s="123"/>
      <c r="O6" s="124"/>
      <c r="P6" s="124"/>
      <c r="Q6" s="124"/>
      <c r="R6" s="124"/>
      <c r="S6" s="124"/>
      <c r="T6" s="124"/>
      <c r="U6" s="124"/>
      <c r="V6" s="124"/>
      <c r="W6" s="124"/>
      <c r="X6" s="124"/>
      <c r="Y6" s="125"/>
      <c r="Z6" s="125"/>
      <c r="AA6" s="125"/>
      <c r="AB6" s="125"/>
      <c r="AC6" s="125"/>
      <c r="AD6" s="125"/>
      <c r="AE6" s="126"/>
    </row>
    <row r="7" spans="1:31" s="122" customFormat="1" ht="18" customHeight="1">
      <c r="A7" s="474"/>
      <c r="B7" s="483" t="s">
        <v>1171</v>
      </c>
      <c r="C7" s="483"/>
      <c r="D7" s="483"/>
      <c r="E7" s="483"/>
      <c r="F7" s="483"/>
      <c r="G7" s="483"/>
      <c r="H7" s="484"/>
      <c r="I7" s="123"/>
      <c r="J7" s="123"/>
      <c r="K7" s="123"/>
      <c r="L7" s="123"/>
      <c r="M7" s="123"/>
      <c r="N7" s="123"/>
      <c r="O7" s="124"/>
      <c r="P7" s="124"/>
      <c r="Q7" s="124"/>
      <c r="R7" s="124"/>
      <c r="S7" s="124"/>
      <c r="T7" s="124"/>
      <c r="U7" s="124"/>
      <c r="V7" s="124"/>
      <c r="W7" s="124"/>
      <c r="X7" s="124"/>
      <c r="Y7" s="125"/>
      <c r="Z7" s="125"/>
      <c r="AA7" s="125"/>
      <c r="AB7" s="125"/>
      <c r="AC7" s="125"/>
      <c r="AD7" s="125"/>
      <c r="AE7" s="126"/>
    </row>
    <row r="8" spans="1:31" s="122" customFormat="1" ht="32.25" customHeight="1">
      <c r="A8" s="507" t="s">
        <v>1172</v>
      </c>
      <c r="B8" s="475" t="s">
        <v>1173</v>
      </c>
      <c r="C8" s="483"/>
      <c r="D8" s="483"/>
      <c r="E8" s="483"/>
      <c r="F8" s="483"/>
      <c r="G8" s="483"/>
      <c r="H8" s="484"/>
      <c r="I8" s="123"/>
      <c r="J8" s="123" t="s">
        <v>451</v>
      </c>
      <c r="K8" s="124"/>
      <c r="L8" s="124"/>
      <c r="M8" s="124"/>
      <c r="N8" s="124"/>
      <c r="O8" s="124"/>
      <c r="P8" s="124"/>
      <c r="Q8" s="124"/>
      <c r="R8" s="124"/>
      <c r="S8" s="124"/>
      <c r="T8" s="124"/>
      <c r="U8" s="124"/>
      <c r="V8" s="124"/>
      <c r="W8" s="124"/>
      <c r="X8" s="124"/>
      <c r="Y8" s="125"/>
      <c r="Z8" s="125"/>
      <c r="AA8" s="125"/>
      <c r="AB8" s="125"/>
      <c r="AC8" s="125"/>
      <c r="AD8" s="125"/>
      <c r="AE8" s="126"/>
    </row>
    <row r="9" spans="1:31" s="122" customFormat="1" ht="32.25" customHeight="1">
      <c r="A9" s="507"/>
      <c r="B9" s="475" t="s">
        <v>1174</v>
      </c>
      <c r="C9" s="483"/>
      <c r="D9" s="483"/>
      <c r="E9" s="483"/>
      <c r="F9" s="483"/>
      <c r="G9" s="483"/>
      <c r="H9" s="484"/>
      <c r="I9" s="123" t="s">
        <v>451</v>
      </c>
      <c r="J9" s="123"/>
      <c r="K9" s="123"/>
      <c r="L9" s="127"/>
      <c r="M9" s="127"/>
      <c r="N9" s="127"/>
      <c r="O9" s="127"/>
      <c r="P9" s="127"/>
      <c r="Q9" s="127"/>
      <c r="R9" s="127"/>
      <c r="S9" s="123"/>
      <c r="T9" s="123"/>
      <c r="U9" s="123"/>
      <c r="V9" s="123"/>
      <c r="W9" s="123"/>
      <c r="X9" s="123"/>
      <c r="Y9" s="128"/>
      <c r="Z9" s="128"/>
      <c r="AA9" s="128"/>
      <c r="AB9" s="128"/>
      <c r="AC9" s="128"/>
      <c r="AD9" s="128"/>
      <c r="AE9" s="129"/>
    </row>
    <row r="10" spans="1:31" s="122" customFormat="1" ht="24" customHeight="1">
      <c r="A10" s="507"/>
      <c r="B10" s="475" t="s">
        <v>1175</v>
      </c>
      <c r="C10" s="483"/>
      <c r="D10" s="483"/>
      <c r="E10" s="483"/>
      <c r="F10" s="483"/>
      <c r="G10" s="483"/>
      <c r="H10" s="484"/>
      <c r="I10" s="127"/>
      <c r="J10" s="123"/>
      <c r="K10" s="123"/>
      <c r="L10" s="123" t="s">
        <v>451</v>
      </c>
      <c r="M10" s="127"/>
      <c r="N10" s="127"/>
      <c r="O10" s="127"/>
      <c r="P10" s="127"/>
      <c r="Q10" s="127"/>
      <c r="R10" s="127"/>
      <c r="S10" s="123"/>
      <c r="T10" s="123"/>
      <c r="U10" s="123"/>
      <c r="V10" s="123"/>
      <c r="W10" s="123"/>
      <c r="X10" s="123"/>
      <c r="Y10" s="128"/>
      <c r="Z10" s="128"/>
      <c r="AA10" s="128"/>
      <c r="AB10" s="128"/>
      <c r="AC10" s="128"/>
      <c r="AD10" s="128"/>
      <c r="AE10" s="129"/>
    </row>
    <row r="11" spans="1:31" s="122" customFormat="1" ht="24" customHeight="1">
      <c r="A11" s="507"/>
      <c r="B11" s="475" t="s">
        <v>1176</v>
      </c>
      <c r="C11" s="483"/>
      <c r="D11" s="483"/>
      <c r="E11" s="483"/>
      <c r="F11" s="483"/>
      <c r="G11" s="483"/>
      <c r="H11" s="484"/>
      <c r="I11" s="127"/>
      <c r="J11" s="123"/>
      <c r="K11" s="123" t="s">
        <v>451</v>
      </c>
      <c r="L11" s="127"/>
      <c r="M11" s="127"/>
      <c r="N11" s="127"/>
      <c r="O11" s="127"/>
      <c r="P11" s="127"/>
      <c r="Q11" s="127"/>
      <c r="R11" s="127"/>
      <c r="S11" s="123"/>
      <c r="T11" s="123"/>
      <c r="U11" s="123"/>
      <c r="V11" s="123"/>
      <c r="W11" s="123"/>
      <c r="X11" s="123"/>
      <c r="Y11" s="128"/>
      <c r="Z11" s="128"/>
      <c r="AA11" s="128"/>
      <c r="AB11" s="128"/>
      <c r="AC11" s="128"/>
      <c r="AD11" s="128"/>
      <c r="AE11" s="129"/>
    </row>
    <row r="12" spans="1:31" s="122" customFormat="1" ht="24" customHeight="1">
      <c r="A12" s="507"/>
      <c r="B12" s="475" t="s">
        <v>1177</v>
      </c>
      <c r="C12" s="483"/>
      <c r="D12" s="483"/>
      <c r="E12" s="483"/>
      <c r="F12" s="483"/>
      <c r="G12" s="483"/>
      <c r="H12" s="484"/>
      <c r="I12" s="127"/>
      <c r="J12" s="123"/>
      <c r="K12" s="123"/>
      <c r="L12" s="127"/>
      <c r="M12" s="127"/>
      <c r="N12" s="123" t="s">
        <v>451</v>
      </c>
      <c r="O12" s="127"/>
      <c r="P12" s="127"/>
      <c r="Q12" s="127"/>
      <c r="R12" s="127"/>
      <c r="S12" s="123"/>
      <c r="T12" s="123"/>
      <c r="U12" s="123"/>
      <c r="V12" s="123"/>
      <c r="W12" s="123"/>
      <c r="X12" s="123"/>
      <c r="Y12" s="128"/>
      <c r="Z12" s="128"/>
      <c r="AA12" s="128"/>
      <c r="AB12" s="128"/>
      <c r="AC12" s="128"/>
      <c r="AD12" s="128"/>
      <c r="AE12" s="129"/>
    </row>
    <row r="13" spans="1:31" s="122" customFormat="1" ht="24" customHeight="1">
      <c r="A13" s="507"/>
      <c r="B13" s="475" t="s">
        <v>1178</v>
      </c>
      <c r="C13" s="483"/>
      <c r="D13" s="483"/>
      <c r="E13" s="483"/>
      <c r="F13" s="483"/>
      <c r="G13" s="483"/>
      <c r="H13" s="484"/>
      <c r="I13" s="127"/>
      <c r="J13" s="123"/>
      <c r="K13" s="123"/>
      <c r="L13" s="127"/>
      <c r="M13" s="123" t="s">
        <v>451</v>
      </c>
      <c r="N13" s="127"/>
      <c r="O13" s="127"/>
      <c r="P13" s="127"/>
      <c r="Q13" s="127"/>
      <c r="R13" s="127"/>
      <c r="S13" s="123"/>
      <c r="T13" s="123"/>
      <c r="U13" s="123"/>
      <c r="V13" s="123"/>
      <c r="W13" s="123"/>
      <c r="X13" s="123"/>
      <c r="Y13" s="128"/>
      <c r="Z13" s="128"/>
      <c r="AA13" s="128"/>
      <c r="AB13" s="128"/>
      <c r="AC13" s="128"/>
      <c r="AD13" s="128"/>
      <c r="AE13" s="129"/>
    </row>
    <row r="14" spans="1:31" s="122" customFormat="1" ht="24" customHeight="1">
      <c r="A14" s="507"/>
      <c r="B14" s="475" t="s">
        <v>1179</v>
      </c>
      <c r="C14" s="483"/>
      <c r="D14" s="483"/>
      <c r="E14" s="483"/>
      <c r="F14" s="483"/>
      <c r="G14" s="483"/>
      <c r="H14" s="484"/>
      <c r="I14" s="127"/>
      <c r="J14" s="123"/>
      <c r="K14" s="123"/>
      <c r="L14" s="127"/>
      <c r="M14" s="127"/>
      <c r="N14" s="127"/>
      <c r="O14" s="127"/>
      <c r="P14" s="123" t="s">
        <v>451</v>
      </c>
      <c r="Q14" s="127"/>
      <c r="R14" s="127"/>
      <c r="S14" s="123"/>
      <c r="T14" s="123"/>
      <c r="U14" s="123"/>
      <c r="V14" s="123"/>
      <c r="W14" s="123"/>
      <c r="X14" s="123"/>
      <c r="Y14" s="128"/>
      <c r="Z14" s="128"/>
      <c r="AA14" s="128"/>
      <c r="AB14" s="128"/>
      <c r="AC14" s="128"/>
      <c r="AD14" s="128"/>
      <c r="AE14" s="129"/>
    </row>
    <row r="15" spans="1:31" s="122" customFormat="1" ht="24" customHeight="1">
      <c r="A15" s="507"/>
      <c r="B15" s="475" t="s">
        <v>1180</v>
      </c>
      <c r="C15" s="483"/>
      <c r="D15" s="483"/>
      <c r="E15" s="483"/>
      <c r="F15" s="483"/>
      <c r="G15" s="483"/>
      <c r="H15" s="484"/>
      <c r="I15" s="127"/>
      <c r="J15" s="123"/>
      <c r="K15" s="123"/>
      <c r="L15" s="127"/>
      <c r="M15" s="127"/>
      <c r="N15" s="127"/>
      <c r="O15" s="123" t="s">
        <v>451</v>
      </c>
      <c r="P15" s="127"/>
      <c r="Q15" s="127"/>
      <c r="R15" s="127"/>
      <c r="S15" s="123"/>
      <c r="T15" s="123"/>
      <c r="U15" s="123"/>
      <c r="V15" s="123"/>
      <c r="W15" s="123"/>
      <c r="X15" s="123"/>
      <c r="Y15" s="128"/>
      <c r="Z15" s="128"/>
      <c r="AA15" s="128"/>
      <c r="AB15" s="128"/>
      <c r="AC15" s="128"/>
      <c r="AD15" s="128"/>
      <c r="AE15" s="129"/>
    </row>
    <row r="16" spans="1:31" s="122" customFormat="1" ht="24" customHeight="1">
      <c r="A16" s="507"/>
      <c r="B16" s="475" t="s">
        <v>1181</v>
      </c>
      <c r="C16" s="483"/>
      <c r="D16" s="483"/>
      <c r="E16" s="483"/>
      <c r="F16" s="483"/>
      <c r="G16" s="483"/>
      <c r="H16" s="484"/>
      <c r="I16" s="127"/>
      <c r="J16" s="123"/>
      <c r="K16" s="123"/>
      <c r="L16" s="127"/>
      <c r="M16" s="127"/>
      <c r="N16" s="127"/>
      <c r="O16" s="127"/>
      <c r="P16" s="127"/>
      <c r="Q16" s="127"/>
      <c r="R16" s="123" t="s">
        <v>451</v>
      </c>
      <c r="S16" s="123"/>
      <c r="T16" s="123"/>
      <c r="U16" s="123"/>
      <c r="V16" s="123"/>
      <c r="W16" s="123"/>
      <c r="X16" s="123"/>
      <c r="Y16" s="128"/>
      <c r="Z16" s="128"/>
      <c r="AA16" s="128"/>
      <c r="AB16" s="128"/>
      <c r="AC16" s="128"/>
      <c r="AD16" s="128"/>
      <c r="AE16" s="129"/>
    </row>
    <row r="17" spans="1:35" s="122" customFormat="1" ht="24" customHeight="1">
      <c r="A17" s="507"/>
      <c r="B17" s="475" t="s">
        <v>1182</v>
      </c>
      <c r="C17" s="483"/>
      <c r="D17" s="483"/>
      <c r="E17" s="483"/>
      <c r="F17" s="483"/>
      <c r="G17" s="483"/>
      <c r="H17" s="484"/>
      <c r="I17" s="127"/>
      <c r="J17" s="123"/>
      <c r="K17" s="123"/>
      <c r="L17" s="127"/>
      <c r="M17" s="127"/>
      <c r="N17" s="127"/>
      <c r="O17" s="127"/>
      <c r="P17" s="127"/>
      <c r="Q17" s="123" t="s">
        <v>451</v>
      </c>
      <c r="R17" s="127"/>
      <c r="S17" s="123"/>
      <c r="T17" s="123"/>
      <c r="U17" s="123"/>
      <c r="V17" s="123"/>
      <c r="W17" s="123"/>
      <c r="X17" s="123"/>
      <c r="Y17" s="128"/>
      <c r="Z17" s="128"/>
      <c r="AA17" s="128"/>
      <c r="AB17" s="128"/>
      <c r="AC17" s="128"/>
      <c r="AD17" s="128"/>
      <c r="AE17" s="129"/>
    </row>
    <row r="18" spans="1:35" s="122" customFormat="1" ht="69" customHeight="1">
      <c r="A18" s="495" t="s">
        <v>1183</v>
      </c>
      <c r="B18" s="496"/>
      <c r="C18" s="496"/>
      <c r="D18" s="496"/>
      <c r="E18" s="497"/>
      <c r="F18" s="501" t="s">
        <v>1184</v>
      </c>
      <c r="G18" s="502"/>
      <c r="H18" s="503"/>
      <c r="I18" s="131">
        <v>41156</v>
      </c>
      <c r="J18" s="131">
        <v>41156</v>
      </c>
      <c r="K18" s="131">
        <v>41156</v>
      </c>
      <c r="L18" s="131">
        <v>41156</v>
      </c>
      <c r="M18" s="131">
        <v>41156</v>
      </c>
      <c r="N18" s="131">
        <v>41156</v>
      </c>
      <c r="O18" s="131">
        <v>41156</v>
      </c>
      <c r="P18" s="131">
        <v>41156</v>
      </c>
      <c r="Q18" s="131">
        <v>41156</v>
      </c>
      <c r="R18" s="131">
        <v>41156</v>
      </c>
      <c r="S18" s="132"/>
      <c r="T18" s="132"/>
      <c r="U18" s="132"/>
      <c r="V18" s="132"/>
      <c r="W18" s="132"/>
      <c r="X18" s="132"/>
      <c r="Y18" s="132"/>
      <c r="Z18" s="132"/>
      <c r="AA18" s="132"/>
      <c r="AB18" s="132"/>
      <c r="AC18" s="133"/>
      <c r="AD18" s="133"/>
      <c r="AE18" s="134"/>
    </row>
    <row r="19" spans="1:35" s="122" customFormat="1" ht="43.5" customHeight="1">
      <c r="A19" s="498"/>
      <c r="B19" s="499"/>
      <c r="C19" s="499"/>
      <c r="D19" s="499"/>
      <c r="E19" s="500"/>
      <c r="F19" s="501" t="s">
        <v>1185</v>
      </c>
      <c r="G19" s="502"/>
      <c r="H19" s="503"/>
      <c r="I19" s="132"/>
      <c r="J19" s="132"/>
      <c r="K19" s="132"/>
      <c r="L19" s="132"/>
      <c r="M19" s="132"/>
      <c r="N19" s="132"/>
      <c r="O19" s="132"/>
      <c r="P19" s="132"/>
      <c r="Q19" s="132"/>
      <c r="R19" s="132"/>
      <c r="S19" s="132"/>
      <c r="T19" s="132"/>
      <c r="U19" s="132"/>
      <c r="V19" s="132"/>
      <c r="W19" s="132"/>
      <c r="X19" s="132"/>
      <c r="Y19" s="132"/>
      <c r="Z19" s="132"/>
      <c r="AA19" s="132"/>
      <c r="AB19" s="132"/>
      <c r="AC19" s="133"/>
      <c r="AD19" s="133"/>
      <c r="AE19" s="134"/>
    </row>
    <row r="20" spans="1:35" s="122" customFormat="1" ht="12" customHeight="1">
      <c r="A20" s="504" t="s">
        <v>1186</v>
      </c>
      <c r="B20" s="505"/>
      <c r="C20" s="505"/>
      <c r="D20" s="505"/>
      <c r="E20" s="505"/>
      <c r="F20" s="505"/>
      <c r="G20" s="505"/>
      <c r="H20" s="506"/>
      <c r="I20" s="124" t="s">
        <v>312</v>
      </c>
      <c r="J20" s="124" t="s">
        <v>312</v>
      </c>
      <c r="K20" s="124" t="s">
        <v>312</v>
      </c>
      <c r="L20" s="124" t="s">
        <v>312</v>
      </c>
      <c r="M20" s="124" t="s">
        <v>312</v>
      </c>
      <c r="N20" s="124" t="s">
        <v>312</v>
      </c>
      <c r="O20" s="124" t="s">
        <v>312</v>
      </c>
      <c r="P20" s="124" t="s">
        <v>312</v>
      </c>
      <c r="Q20" s="124" t="s">
        <v>312</v>
      </c>
      <c r="R20" s="124" t="s">
        <v>312</v>
      </c>
      <c r="S20" s="124"/>
      <c r="T20" s="124"/>
      <c r="U20" s="124"/>
      <c r="V20" s="124"/>
      <c r="W20" s="124"/>
      <c r="X20" s="124"/>
      <c r="Y20" s="124"/>
      <c r="Z20" s="124"/>
      <c r="AA20" s="124"/>
      <c r="AB20" s="124"/>
      <c r="AC20" s="130"/>
      <c r="AD20" s="130"/>
      <c r="AE20" s="135"/>
    </row>
    <row r="21" spans="1:35" s="140" customFormat="1" ht="13">
      <c r="A21" s="136" t="s">
        <v>880</v>
      </c>
      <c r="B21" s="137"/>
      <c r="C21" s="137"/>
      <c r="D21" s="137"/>
      <c r="E21" s="137"/>
      <c r="F21" s="137"/>
      <c r="G21" s="137"/>
      <c r="H21" s="137"/>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9"/>
    </row>
    <row r="22" spans="1:35" s="140" customFormat="1" thickBot="1">
      <c r="A22" s="141"/>
      <c r="B22" s="142"/>
      <c r="C22" s="142"/>
      <c r="D22" s="142"/>
      <c r="E22" s="142"/>
      <c r="F22" s="142"/>
      <c r="G22" s="142"/>
      <c r="H22" s="142"/>
      <c r="I22" s="143"/>
      <c r="J22" s="143"/>
      <c r="K22" s="143"/>
      <c r="L22" s="143"/>
      <c r="M22" s="143"/>
      <c r="N22" s="143"/>
      <c r="O22" s="143"/>
      <c r="P22" s="143"/>
      <c r="Q22" s="143"/>
      <c r="R22" s="143"/>
      <c r="S22" s="143"/>
      <c r="T22" s="143"/>
      <c r="U22" s="143"/>
      <c r="V22" s="143"/>
      <c r="W22" s="143"/>
      <c r="X22" s="143"/>
      <c r="Y22" s="143"/>
      <c r="Z22" s="143"/>
      <c r="AA22" s="143"/>
      <c r="AB22" s="143"/>
      <c r="AC22" s="143"/>
      <c r="AD22" s="143"/>
      <c r="AE22" s="144"/>
    </row>
    <row r="23" spans="1:35" s="140" customFormat="1" ht="13">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row>
    <row r="24" spans="1:35" s="140" customFormat="1" ht="13">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row>
    <row r="25" spans="1:35">
      <c r="B25" s="147" t="s">
        <v>1187</v>
      </c>
    </row>
    <row r="29" spans="1:35">
      <c r="AF29" s="149"/>
      <c r="AG29" s="149"/>
      <c r="AH29" s="149"/>
      <c r="AI29" s="149"/>
    </row>
    <row r="30" spans="1:35">
      <c r="AF30" s="149"/>
      <c r="AG30" s="149"/>
      <c r="AH30" s="149"/>
      <c r="AI30" s="149"/>
    </row>
    <row r="31" spans="1:35">
      <c r="AF31" s="149"/>
      <c r="AG31" s="149"/>
      <c r="AH31" s="149"/>
      <c r="AI31" s="149"/>
    </row>
    <row r="32" spans="1:35">
      <c r="AF32" s="150"/>
      <c r="AG32" s="150"/>
      <c r="AH32" s="150"/>
      <c r="AI32" s="151"/>
    </row>
    <row r="33" spans="32:35">
      <c r="AF33" s="150"/>
      <c r="AG33" s="150"/>
      <c r="AH33" s="150"/>
      <c r="AI33" s="151"/>
    </row>
  </sheetData>
  <mergeCells count="34">
    <mergeCell ref="B17:H17"/>
    <mergeCell ref="A18:E19"/>
    <mergeCell ref="F18:H18"/>
    <mergeCell ref="F19:H19"/>
    <mergeCell ref="A20:H20"/>
    <mergeCell ref="A8:A17"/>
    <mergeCell ref="B8:H8"/>
    <mergeCell ref="B9:H9"/>
    <mergeCell ref="B10:H10"/>
    <mergeCell ref="B15:H15"/>
    <mergeCell ref="B16:H16"/>
    <mergeCell ref="A1:D2"/>
    <mergeCell ref="E1:G1"/>
    <mergeCell ref="B12:H12"/>
    <mergeCell ref="B13:H13"/>
    <mergeCell ref="H1:I1"/>
    <mergeCell ref="A3:H3"/>
    <mergeCell ref="B7:H7"/>
    <mergeCell ref="E2:G2"/>
    <mergeCell ref="H2:I2"/>
    <mergeCell ref="J2:L2"/>
    <mergeCell ref="M2:W2"/>
    <mergeCell ref="B11:H11"/>
    <mergeCell ref="B14:H14"/>
    <mergeCell ref="X2:AB2"/>
    <mergeCell ref="AC2:AE2"/>
    <mergeCell ref="M1:W1"/>
    <mergeCell ref="X1:AB1"/>
    <mergeCell ref="A4:A7"/>
    <mergeCell ref="B4:H4"/>
    <mergeCell ref="B5:H5"/>
    <mergeCell ref="B6:H6"/>
    <mergeCell ref="J1:L1"/>
    <mergeCell ref="AC1:AE1"/>
  </mergeCells>
  <phoneticPr fontId="25"/>
  <pageMargins left="0.78740157480314965" right="0.19685039370078741" top="0.59055118110236227" bottom="0.39370078740157483" header="0.59055118110236227" footer="0.19685039370078741"/>
  <pageSetup paperSize="9" scale="82" orientation="portrait"/>
  <headerFooter alignWithMargins="0">
    <oddHeader>&amp;A</oddHeader>
    <oddFooter>&amp;C&amp;P/&amp;N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CB1A-72F5-5D49-BA86-889C9ACA8F7E}">
  <dimension ref="A1"/>
  <sheetViews>
    <sheetView zoomScale="85" zoomScaleNormal="85" workbookViewId="0"/>
  </sheetViews>
  <sheetFormatPr baseColWidth="10" defaultRowHeight="14"/>
  <cols>
    <col min="1" max="256" width="8.83203125" customWidth="1"/>
  </cols>
  <sheetData/>
  <phoneticPr fontId="47"/>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BA889-859D-8A4A-A239-6F1CBCF27C2B}">
  <sheetPr codeName="Sheet4">
    <pageSetUpPr fitToPage="1"/>
  </sheetPr>
  <dimension ref="B1:J26"/>
  <sheetViews>
    <sheetView showGridLines="0" view="pageBreakPreview" zoomScale="85" zoomScaleNormal="70" zoomScaleSheetLayoutView="85" workbookViewId="0">
      <pane xSplit="1" ySplit="8" topLeftCell="B9" activePane="bottomRight" state="frozen"/>
      <selection pane="topRight" activeCell="F19" sqref="F19"/>
      <selection pane="bottomLeft" activeCell="F19" sqref="F19"/>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5.6640625" style="88" customWidth="1"/>
    <col min="9" max="9" width="50.6640625" style="87" customWidth="1"/>
    <col min="10" max="16384" width="3.6640625" style="87"/>
  </cols>
  <sheetData>
    <row r="1" spans="2:10" ht="4.5" customHeight="1"/>
    <row r="2" spans="2:10" ht="15" customHeight="1">
      <c r="B2" s="350"/>
      <c r="C2" s="351"/>
      <c r="D2" s="89"/>
      <c r="E2" s="89" t="s">
        <v>523</v>
      </c>
      <c r="F2" s="89" t="s">
        <v>524</v>
      </c>
      <c r="G2" s="90" t="s">
        <v>525</v>
      </c>
      <c r="H2" s="91"/>
      <c r="I2" s="92"/>
    </row>
    <row r="3" spans="2:10" ht="25" customHeight="1">
      <c r="B3" s="352" t="s">
        <v>526</v>
      </c>
      <c r="C3" s="353"/>
      <c r="D3" s="93" t="s">
        <v>527</v>
      </c>
      <c r="E3" s="94"/>
      <c r="F3" s="94"/>
      <c r="G3" s="95"/>
      <c r="H3" s="91"/>
      <c r="I3" s="92"/>
    </row>
    <row r="4" spans="2:10" ht="25" customHeight="1">
      <c r="B4" s="354"/>
      <c r="C4" s="355"/>
      <c r="D4" s="94" t="s">
        <v>528</v>
      </c>
      <c r="E4" s="94"/>
      <c r="F4" s="94"/>
      <c r="G4" s="95"/>
      <c r="H4" s="91"/>
      <c r="I4" s="92"/>
    </row>
    <row r="5" spans="2:10" ht="25" customHeight="1">
      <c r="B5" s="352" t="s">
        <v>529</v>
      </c>
      <c r="C5" s="353"/>
      <c r="D5" s="94" t="s">
        <v>530</v>
      </c>
      <c r="E5" s="94"/>
      <c r="F5" s="95"/>
      <c r="G5" s="96"/>
      <c r="H5" s="91"/>
      <c r="I5" s="92"/>
    </row>
    <row r="6" spans="2:10" ht="25" customHeight="1">
      <c r="B6" s="354"/>
      <c r="C6" s="355"/>
      <c r="D6" s="94" t="s">
        <v>531</v>
      </c>
      <c r="E6" s="94"/>
      <c r="F6" s="95"/>
      <c r="G6" s="96"/>
      <c r="H6" s="91"/>
      <c r="I6" s="92"/>
    </row>
    <row r="7" spans="2:10" ht="16.5" customHeight="1"/>
    <row r="8" spans="2:10" ht="36" customHeight="1" thickBot="1">
      <c r="B8" s="356" t="s">
        <v>293</v>
      </c>
      <c r="C8" s="357"/>
      <c r="D8" s="332" t="s">
        <v>294</v>
      </c>
      <c r="E8" s="332" t="s">
        <v>295</v>
      </c>
      <c r="F8" s="332" t="s">
        <v>296</v>
      </c>
      <c r="G8" s="332" t="s">
        <v>297</v>
      </c>
      <c r="H8" s="97" t="s">
        <v>299</v>
      </c>
      <c r="I8" s="98" t="s">
        <v>300</v>
      </c>
    </row>
    <row r="9" spans="2:10" ht="20.25" customHeight="1" thickTop="1">
      <c r="B9" s="99">
        <v>1</v>
      </c>
      <c r="C9" s="100" t="s">
        <v>532</v>
      </c>
      <c r="D9" s="101"/>
      <c r="E9" s="102"/>
      <c r="F9" s="102"/>
      <c r="G9" s="102"/>
      <c r="H9" s="103"/>
      <c r="I9" s="104"/>
    </row>
    <row r="10" spans="2:10" ht="34">
      <c r="B10" s="345" t="s">
        <v>302</v>
      </c>
      <c r="C10" s="346"/>
      <c r="D10" s="84"/>
      <c r="E10" s="84" t="s">
        <v>702</v>
      </c>
      <c r="F10" s="84" t="s">
        <v>1188</v>
      </c>
      <c r="G10" s="84"/>
      <c r="H10" s="81"/>
      <c r="I10" s="82"/>
    </row>
    <row r="11" spans="2:10" ht="34">
      <c r="B11" s="345" t="s">
        <v>306</v>
      </c>
      <c r="C11" s="346"/>
      <c r="D11" s="105"/>
      <c r="E11" s="28" t="s">
        <v>1189</v>
      </c>
      <c r="F11" s="28" t="s">
        <v>1190</v>
      </c>
      <c r="G11" s="84"/>
      <c r="H11" s="81"/>
      <c r="I11" s="82"/>
      <c r="J11" s="87" t="s">
        <v>1191</v>
      </c>
    </row>
    <row r="12" spans="2:10" ht="34">
      <c r="B12" s="345" t="s">
        <v>706</v>
      </c>
      <c r="C12" s="346"/>
      <c r="D12" s="105"/>
      <c r="E12" s="28" t="s">
        <v>1192</v>
      </c>
      <c r="F12" s="28" t="s">
        <v>1193</v>
      </c>
      <c r="G12" s="84"/>
      <c r="H12" s="81"/>
      <c r="I12" s="82"/>
      <c r="J12" s="87" t="s">
        <v>1194</v>
      </c>
    </row>
    <row r="13" spans="2:10" ht="34">
      <c r="B13" s="345" t="s">
        <v>708</v>
      </c>
      <c r="C13" s="346"/>
      <c r="D13" s="105"/>
      <c r="E13" s="359" t="s">
        <v>534</v>
      </c>
      <c r="F13" s="28" t="s">
        <v>1195</v>
      </c>
      <c r="G13" s="84" t="s">
        <v>1196</v>
      </c>
      <c r="H13" s="81"/>
      <c r="I13" s="82"/>
    </row>
    <row r="14" spans="2:10" ht="34">
      <c r="B14" s="345" t="s">
        <v>711</v>
      </c>
      <c r="C14" s="346"/>
      <c r="D14" s="105"/>
      <c r="E14" s="360"/>
      <c r="F14" s="28" t="s">
        <v>535</v>
      </c>
      <c r="G14" s="84" t="s">
        <v>536</v>
      </c>
      <c r="H14" s="81"/>
      <c r="I14" s="82"/>
    </row>
    <row r="15" spans="2:10" ht="20.25" customHeight="1">
      <c r="B15" s="106">
        <v>2</v>
      </c>
      <c r="C15" s="107" t="s">
        <v>1197</v>
      </c>
      <c r="D15" s="108"/>
      <c r="E15" s="109"/>
      <c r="F15" s="109"/>
      <c r="G15" s="109"/>
      <c r="H15" s="108"/>
      <c r="I15" s="109"/>
    </row>
    <row r="16" spans="2:10" ht="68">
      <c r="B16" s="358" t="s">
        <v>540</v>
      </c>
      <c r="C16" s="358"/>
      <c r="D16" s="28"/>
      <c r="E16" s="27" t="s">
        <v>1198</v>
      </c>
      <c r="F16" s="28" t="s">
        <v>1199</v>
      </c>
      <c r="G16" s="28"/>
      <c r="H16" s="81"/>
      <c r="I16" s="82"/>
    </row>
    <row r="17" spans="2:9" ht="85">
      <c r="B17" s="358" t="s">
        <v>1200</v>
      </c>
      <c r="C17" s="358"/>
      <c r="D17" s="28"/>
      <c r="E17" s="29"/>
      <c r="F17" s="28" t="s">
        <v>1201</v>
      </c>
      <c r="G17" s="28" t="s">
        <v>1202</v>
      </c>
      <c r="H17" s="81"/>
      <c r="I17" s="82"/>
    </row>
    <row r="18" spans="2:9" ht="18">
      <c r="B18" s="358" t="s">
        <v>318</v>
      </c>
      <c r="C18" s="358"/>
      <c r="D18" s="28"/>
      <c r="E18" s="30"/>
      <c r="F18" s="28" t="s">
        <v>1203</v>
      </c>
      <c r="G18" s="28"/>
      <c r="H18" s="81"/>
      <c r="I18" s="82"/>
    </row>
    <row r="19" spans="2:9" ht="68">
      <c r="B19" s="358" t="s">
        <v>321</v>
      </c>
      <c r="C19" s="358"/>
      <c r="D19" s="28"/>
      <c r="E19" s="27" t="s">
        <v>1204</v>
      </c>
      <c r="F19" s="28" t="s">
        <v>1205</v>
      </c>
      <c r="G19" s="28"/>
      <c r="H19" s="81"/>
      <c r="I19" s="82"/>
    </row>
    <row r="20" spans="2:9" ht="51">
      <c r="B20" s="358" t="s">
        <v>324</v>
      </c>
      <c r="C20" s="358"/>
      <c r="D20" s="28"/>
      <c r="E20" s="29"/>
      <c r="F20" s="28" t="s">
        <v>1206</v>
      </c>
      <c r="G20" s="28"/>
      <c r="H20" s="81"/>
      <c r="I20" s="82"/>
    </row>
    <row r="21" spans="2:9" ht="66" customHeight="1">
      <c r="B21" s="358" t="s">
        <v>326</v>
      </c>
      <c r="C21" s="358"/>
      <c r="D21" s="28"/>
      <c r="E21" s="30"/>
      <c r="F21" s="28" t="s">
        <v>1208</v>
      </c>
      <c r="G21" s="28" t="s">
        <v>1209</v>
      </c>
      <c r="H21" s="81"/>
      <c r="I21" s="82"/>
    </row>
    <row r="22" spans="2:9" ht="34">
      <c r="B22" s="358" t="s">
        <v>327</v>
      </c>
      <c r="C22" s="358"/>
      <c r="D22" s="28"/>
      <c r="E22" s="28" t="s">
        <v>1210</v>
      </c>
      <c r="F22" s="28" t="s">
        <v>1211</v>
      </c>
      <c r="G22" s="28"/>
      <c r="H22" s="81"/>
      <c r="I22" s="82"/>
    </row>
    <row r="23" spans="2:9" ht="34">
      <c r="B23" s="358" t="s">
        <v>330</v>
      </c>
      <c r="C23" s="358"/>
      <c r="D23" s="28"/>
      <c r="E23" s="28" t="s">
        <v>1212</v>
      </c>
      <c r="F23" s="28" t="s">
        <v>1213</v>
      </c>
      <c r="G23" s="28"/>
      <c r="H23" s="81"/>
      <c r="I23" s="82"/>
    </row>
    <row r="24" spans="2:9" ht="34">
      <c r="B24" s="358" t="s">
        <v>334</v>
      </c>
      <c r="C24" s="358"/>
      <c r="D24" s="28"/>
      <c r="E24" s="28" t="s">
        <v>1214</v>
      </c>
      <c r="F24" s="28" t="s">
        <v>1215</v>
      </c>
      <c r="G24" s="28"/>
      <c r="H24" s="81"/>
      <c r="I24" s="82"/>
    </row>
    <row r="25" spans="2:9" ht="57" customHeight="1">
      <c r="B25" s="358" t="s">
        <v>335</v>
      </c>
      <c r="C25" s="358"/>
      <c r="D25" s="28"/>
      <c r="E25" s="28" t="s">
        <v>1216</v>
      </c>
      <c r="F25" s="28" t="s">
        <v>1217</v>
      </c>
      <c r="G25" s="28"/>
      <c r="H25" s="81"/>
      <c r="I25" s="82"/>
    </row>
    <row r="26" spans="2:9" ht="51">
      <c r="B26" s="358" t="s">
        <v>336</v>
      </c>
      <c r="C26" s="358"/>
      <c r="D26" s="30"/>
      <c r="E26" s="28" t="s">
        <v>1218</v>
      </c>
      <c r="F26" s="28" t="s">
        <v>1219</v>
      </c>
      <c r="G26" s="28" t="s">
        <v>1220</v>
      </c>
      <c r="H26" s="81"/>
      <c r="I26" s="82"/>
    </row>
  </sheetData>
  <mergeCells count="23">
    <mergeCell ref="B2:C2"/>
    <mergeCell ref="B3:C3"/>
    <mergeCell ref="B4:C4"/>
    <mergeCell ref="B6:C6"/>
    <mergeCell ref="B8:C8"/>
    <mergeCell ref="B5:C5"/>
    <mergeCell ref="B23:C23"/>
    <mergeCell ref="B24:C24"/>
    <mergeCell ref="B22:C22"/>
    <mergeCell ref="E13:E14"/>
    <mergeCell ref="B16:C16"/>
    <mergeCell ref="B19:C19"/>
    <mergeCell ref="B20:C20"/>
    <mergeCell ref="B10:C10"/>
    <mergeCell ref="B11:C11"/>
    <mergeCell ref="B12:C12"/>
    <mergeCell ref="B26:C26"/>
    <mergeCell ref="B18:C18"/>
    <mergeCell ref="B13:C13"/>
    <mergeCell ref="B25:C25"/>
    <mergeCell ref="B21:C21"/>
    <mergeCell ref="B14:C14"/>
    <mergeCell ref="B17:C17"/>
  </mergeCells>
  <phoneticPr fontId="9"/>
  <dataValidations count="1">
    <dataValidation type="list" allowBlank="1" showInputMessage="1" showErrorMessage="1" sqref="H16:H26 H10:H14" xr:uid="{F788A1A2-50FE-2B46-9CFF-AA40F03E9060}">
      <formula1>$J$10:$J$12</formula1>
    </dataValidation>
  </dataValidations>
  <pageMargins left="0.31496062992125984" right="0.31496062992125984" top="0.55118110236220474" bottom="0.55118110236220474" header="0.31496062992125984" footer="0.31496062992125984"/>
  <pageSetup paperSize="9" scale="37" fitToHeight="0" orientation="portrait"/>
  <headerFooter>
    <oddHeader>&amp;C&amp;A</oddHead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0E08-02D2-9547-B072-C70BFD58F1D7}">
  <sheetPr>
    <pageSetUpPr fitToPage="1"/>
  </sheetPr>
  <dimension ref="B1:I20"/>
  <sheetViews>
    <sheetView showGridLines="0" view="pageBreakPreview" zoomScale="80" zoomScaleNormal="70" zoomScaleSheetLayoutView="80" workbookViewId="0">
      <pane xSplit="1" ySplit="8" topLeftCell="B9" activePane="bottomRight" state="frozen"/>
      <selection pane="topRight" activeCell="F19" sqref="F19"/>
      <selection pane="bottomLeft" activeCell="F19" sqref="F19"/>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5.6640625" style="88" customWidth="1"/>
    <col min="9" max="9" width="50.6640625" style="87" customWidth="1"/>
    <col min="10" max="16384" width="3.6640625" style="87"/>
  </cols>
  <sheetData>
    <row r="1" spans="2:9" ht="4.5" customHeight="1"/>
    <row r="2" spans="2:9" ht="15" customHeight="1">
      <c r="B2" s="350"/>
      <c r="C2" s="351"/>
      <c r="D2" s="89"/>
      <c r="E2" s="89" t="s">
        <v>523</v>
      </c>
      <c r="F2" s="89" t="s">
        <v>524</v>
      </c>
      <c r="G2" s="90" t="s">
        <v>525</v>
      </c>
      <c r="H2" s="91"/>
      <c r="I2" s="92"/>
    </row>
    <row r="3" spans="2:9" ht="25" customHeight="1">
      <c r="B3" s="352" t="s">
        <v>526</v>
      </c>
      <c r="C3" s="353"/>
      <c r="D3" s="93" t="s">
        <v>527</v>
      </c>
      <c r="E3" s="94"/>
      <c r="F3" s="94"/>
      <c r="G3" s="95"/>
      <c r="H3" s="91"/>
      <c r="I3" s="92"/>
    </row>
    <row r="4" spans="2:9" ht="25" customHeight="1">
      <c r="B4" s="354"/>
      <c r="C4" s="355"/>
      <c r="D4" s="94" t="s">
        <v>528</v>
      </c>
      <c r="E4" s="94"/>
      <c r="F4" s="94"/>
      <c r="G4" s="95"/>
      <c r="H4" s="91"/>
      <c r="I4" s="92"/>
    </row>
    <row r="5" spans="2:9" ht="25" customHeight="1">
      <c r="B5" s="352" t="s">
        <v>529</v>
      </c>
      <c r="C5" s="353"/>
      <c r="D5" s="94" t="s">
        <v>530</v>
      </c>
      <c r="E5" s="94"/>
      <c r="F5" s="95"/>
      <c r="G5" s="96"/>
      <c r="H5" s="91"/>
      <c r="I5" s="92"/>
    </row>
    <row r="6" spans="2:9" ht="25" customHeight="1">
      <c r="B6" s="354"/>
      <c r="C6" s="355"/>
      <c r="D6" s="94" t="s">
        <v>531</v>
      </c>
      <c r="E6" s="94"/>
      <c r="F6" s="95"/>
      <c r="G6" s="96"/>
      <c r="H6" s="91"/>
      <c r="I6" s="92"/>
    </row>
    <row r="7" spans="2:9" ht="16.5" customHeight="1"/>
    <row r="8" spans="2:9" ht="36" customHeight="1" thickBot="1">
      <c r="B8" s="356" t="s">
        <v>293</v>
      </c>
      <c r="C8" s="357"/>
      <c r="D8" s="332" t="s">
        <v>294</v>
      </c>
      <c r="E8" s="332" t="s">
        <v>295</v>
      </c>
      <c r="F8" s="332" t="s">
        <v>296</v>
      </c>
      <c r="G8" s="332" t="s">
        <v>297</v>
      </c>
      <c r="H8" s="97" t="s">
        <v>299</v>
      </c>
      <c r="I8" s="98" t="s">
        <v>300</v>
      </c>
    </row>
    <row r="9" spans="2:9" ht="20.25" customHeight="1" thickTop="1">
      <c r="B9" s="99">
        <v>1</v>
      </c>
      <c r="C9" s="100" t="s">
        <v>1221</v>
      </c>
      <c r="D9" s="101"/>
      <c r="E9" s="102"/>
      <c r="F9" s="102"/>
      <c r="G9" s="102"/>
      <c r="H9" s="103"/>
      <c r="I9" s="104"/>
    </row>
    <row r="10" spans="2:9" ht="18">
      <c r="B10" s="345" t="s">
        <v>302</v>
      </c>
      <c r="C10" s="346"/>
      <c r="D10" s="84"/>
      <c r="E10" s="84" t="s">
        <v>1222</v>
      </c>
      <c r="F10" s="337" t="s">
        <v>1532</v>
      </c>
      <c r="G10" s="84"/>
      <c r="H10" s="81"/>
      <c r="I10" s="82"/>
    </row>
    <row r="11" spans="2:9" ht="51">
      <c r="B11" s="345" t="s">
        <v>1558</v>
      </c>
      <c r="C11" s="346"/>
      <c r="D11" s="84"/>
      <c r="E11" s="84" t="s">
        <v>1561</v>
      </c>
      <c r="F11" s="338" t="s">
        <v>1560</v>
      </c>
      <c r="G11" s="84"/>
      <c r="H11" s="81"/>
      <c r="I11" s="82"/>
    </row>
    <row r="12" spans="2:9" ht="20.25" customHeight="1">
      <c r="B12" s="106">
        <v>2</v>
      </c>
      <c r="C12" s="107" t="s">
        <v>314</v>
      </c>
      <c r="D12" s="108"/>
      <c r="E12" s="109"/>
      <c r="F12" s="109"/>
      <c r="G12" s="109"/>
      <c r="H12" s="108"/>
      <c r="I12" s="109"/>
    </row>
    <row r="13" spans="2:9" ht="34">
      <c r="B13" s="358" t="s">
        <v>540</v>
      </c>
      <c r="C13" s="358"/>
      <c r="D13" s="28"/>
      <c r="E13" s="27" t="s">
        <v>1559</v>
      </c>
      <c r="F13" s="338" t="s">
        <v>1560</v>
      </c>
      <c r="G13" s="28"/>
      <c r="H13" s="81"/>
      <c r="I13" s="82"/>
    </row>
    <row r="14" spans="2:9" ht="20.25" customHeight="1">
      <c r="B14" s="106">
        <v>3</v>
      </c>
      <c r="C14" s="107" t="s">
        <v>1224</v>
      </c>
      <c r="D14" s="108"/>
      <c r="E14" s="109"/>
      <c r="F14" s="109"/>
      <c r="G14" s="109"/>
      <c r="H14" s="108"/>
      <c r="I14" s="109"/>
    </row>
    <row r="15" spans="2:9" ht="18">
      <c r="B15" s="358" t="s">
        <v>1225</v>
      </c>
      <c r="C15" s="358"/>
      <c r="D15" s="28"/>
      <c r="E15" s="28" t="s">
        <v>1226</v>
      </c>
      <c r="F15" s="338">
        <v>0.8</v>
      </c>
      <c r="G15" s="28"/>
      <c r="H15" s="81"/>
      <c r="I15" s="82"/>
    </row>
    <row r="16" spans="2:9" ht="20.25" customHeight="1">
      <c r="B16" s="106">
        <v>4</v>
      </c>
      <c r="C16" s="107" t="s">
        <v>1005</v>
      </c>
      <c r="D16" s="108"/>
      <c r="E16" s="109"/>
      <c r="F16" s="109"/>
      <c r="G16" s="109"/>
      <c r="H16" s="108"/>
      <c r="I16" s="109"/>
    </row>
    <row r="17" spans="2:9" ht="51">
      <c r="B17" s="358" t="s">
        <v>1227</v>
      </c>
      <c r="C17" s="358"/>
      <c r="D17" s="28"/>
      <c r="E17" s="339"/>
      <c r="F17" s="337" t="s">
        <v>1228</v>
      </c>
      <c r="G17" s="28"/>
      <c r="H17" s="81"/>
      <c r="I17" s="82"/>
    </row>
    <row r="18" spans="2:9" ht="51">
      <c r="B18" s="358" t="s">
        <v>637</v>
      </c>
      <c r="C18" s="358"/>
      <c r="D18" s="28"/>
      <c r="E18" s="339"/>
      <c r="F18" s="337" t="s">
        <v>1229</v>
      </c>
      <c r="G18" s="28"/>
      <c r="H18" s="81"/>
      <c r="I18" s="82"/>
    </row>
    <row r="19" spans="2:9" ht="34">
      <c r="B19" s="358" t="s">
        <v>638</v>
      </c>
      <c r="C19" s="358"/>
      <c r="D19" s="28"/>
      <c r="E19" s="339"/>
      <c r="F19" s="337" t="s">
        <v>1230</v>
      </c>
      <c r="G19" s="28"/>
      <c r="H19" s="81"/>
      <c r="I19" s="82"/>
    </row>
    <row r="20" spans="2:9" ht="34">
      <c r="B20" s="358" t="s">
        <v>643</v>
      </c>
      <c r="C20" s="358"/>
      <c r="D20" s="28"/>
      <c r="E20" s="339"/>
      <c r="F20" s="337" t="s">
        <v>1231</v>
      </c>
      <c r="G20" s="28"/>
      <c r="H20" s="81"/>
      <c r="I20" s="82"/>
    </row>
  </sheetData>
  <mergeCells count="14">
    <mergeCell ref="B8:C8"/>
    <mergeCell ref="B10:C10"/>
    <mergeCell ref="B2:C2"/>
    <mergeCell ref="B3:C3"/>
    <mergeCell ref="B4:C4"/>
    <mergeCell ref="B5:C5"/>
    <mergeCell ref="B6:C6"/>
    <mergeCell ref="B18:C18"/>
    <mergeCell ref="B20:C20"/>
    <mergeCell ref="B17:C17"/>
    <mergeCell ref="B19:C19"/>
    <mergeCell ref="B15:C15"/>
    <mergeCell ref="B11:C11"/>
    <mergeCell ref="B13:C13"/>
  </mergeCells>
  <phoneticPr fontId="42"/>
  <dataValidations count="1">
    <dataValidation type="list" allowBlank="1" showInputMessage="1" showErrorMessage="1" sqref="H17:H20 H10:H11 H15 H13" xr:uid="{C7BE5092-0BD2-EA4A-B836-4F158E7A7269}">
      <formula1>$J$11:$J$11</formula1>
    </dataValidation>
  </dataValidations>
  <pageMargins left="0.31496062992125984" right="0.31496062992125984" top="0.55118110236220474" bottom="0.55118110236220474" header="0.31496062992125984" footer="0.31496062992125984"/>
  <pageSetup paperSize="9" scale="37" fitToHeight="0" orientation="portrait"/>
  <headerFooter>
    <oddHeader>&amp;C&amp;A</oddHead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98CD-3ABB-4A4F-A9BD-877F8102496B}">
  <dimension ref="A1:K66"/>
  <sheetViews>
    <sheetView zoomScale="85" zoomScaleNormal="85" workbookViewId="0">
      <selection activeCell="J38" sqref="J38"/>
    </sheetView>
  </sheetViews>
  <sheetFormatPr baseColWidth="10" defaultColWidth="14.6640625" defaultRowHeight="14"/>
  <cols>
    <col min="1" max="1" width="14.6640625" style="153"/>
    <col min="2" max="2" width="16.1640625" style="153" customWidth="1"/>
    <col min="3" max="5" width="14.6640625" style="153"/>
    <col min="6" max="6" width="25.1640625" style="153" customWidth="1"/>
    <col min="7" max="7" width="18.6640625" style="153" customWidth="1"/>
    <col min="8" max="8" width="14.6640625" style="153" customWidth="1"/>
    <col min="9" max="9" width="20.6640625" style="153" customWidth="1"/>
    <col min="10" max="16384" width="14.6640625" style="153"/>
  </cols>
  <sheetData>
    <row r="1" spans="1:10">
      <c r="A1" s="152" t="s">
        <v>1232</v>
      </c>
      <c r="C1" s="508" t="s">
        <v>1233</v>
      </c>
    </row>
    <row r="2" spans="1:10">
      <c r="A2" s="152" t="s">
        <v>1234</v>
      </c>
      <c r="C2" s="509"/>
    </row>
    <row r="3" spans="1:10">
      <c r="A3" s="154" t="s">
        <v>1235</v>
      </c>
      <c r="B3" s="155" t="s">
        <v>1236</v>
      </c>
      <c r="C3" s="155" t="s">
        <v>1237</v>
      </c>
      <c r="D3" s="155" t="s">
        <v>1238</v>
      </c>
      <c r="E3" s="155" t="s">
        <v>1239</v>
      </c>
      <c r="F3" s="155" t="s">
        <v>1240</v>
      </c>
      <c r="G3" s="155" t="s">
        <v>1241</v>
      </c>
      <c r="I3" s="510" t="s">
        <v>1242</v>
      </c>
    </row>
    <row r="4" spans="1:10">
      <c r="A4" s="154" t="s">
        <v>1243</v>
      </c>
      <c r="B4" s="155" t="s">
        <v>1244</v>
      </c>
      <c r="C4" s="155" t="s">
        <v>1245</v>
      </c>
      <c r="D4" s="155" t="s">
        <v>1246</v>
      </c>
      <c r="E4" s="155" t="s">
        <v>1247</v>
      </c>
      <c r="F4" s="155" t="s">
        <v>1248</v>
      </c>
      <c r="G4" s="155" t="s">
        <v>1249</v>
      </c>
      <c r="I4" s="508"/>
    </row>
    <row r="5" spans="1:10" ht="15" customHeight="1">
      <c r="A5" s="156" t="s">
        <v>1250</v>
      </c>
      <c r="B5" s="157" t="s">
        <v>1251</v>
      </c>
      <c r="C5" s="157" t="s">
        <v>1252</v>
      </c>
      <c r="D5" s="157" t="s">
        <v>1253</v>
      </c>
      <c r="E5" s="157" t="s">
        <v>1254</v>
      </c>
      <c r="F5" s="157" t="s">
        <v>1255</v>
      </c>
      <c r="G5" s="157" t="s">
        <v>1256</v>
      </c>
      <c r="I5" s="158" t="s">
        <v>1257</v>
      </c>
      <c r="J5" s="159"/>
    </row>
    <row r="6" spans="1:10" ht="16.5" customHeight="1">
      <c r="A6" s="160" t="s">
        <v>1159</v>
      </c>
      <c r="B6" s="161" t="s">
        <v>1258</v>
      </c>
      <c r="C6" s="161" t="s">
        <v>1259</v>
      </c>
      <c r="D6" s="161" t="s">
        <v>1260</v>
      </c>
      <c r="E6" s="161" t="s">
        <v>1256</v>
      </c>
      <c r="F6" s="161" t="s">
        <v>1260</v>
      </c>
      <c r="G6" s="161" t="s">
        <v>1256</v>
      </c>
    </row>
    <row r="7" spans="1:10" ht="15.75" customHeight="1">
      <c r="A7" s="160" t="s">
        <v>1160</v>
      </c>
      <c r="B7" s="161" t="s">
        <v>1261</v>
      </c>
      <c r="C7" s="161" t="s">
        <v>1262</v>
      </c>
      <c r="D7" s="161" t="s">
        <v>1263</v>
      </c>
      <c r="E7" s="161" t="s">
        <v>1256</v>
      </c>
      <c r="F7" s="161" t="s">
        <v>1264</v>
      </c>
      <c r="G7" s="161" t="s">
        <v>1256</v>
      </c>
    </row>
    <row r="8" spans="1:10" ht="15" customHeight="1">
      <c r="A8" s="160" t="s">
        <v>1161</v>
      </c>
      <c r="B8" s="161" t="s">
        <v>1265</v>
      </c>
      <c r="C8" s="161" t="s">
        <v>1259</v>
      </c>
      <c r="D8" s="161" t="s">
        <v>1266</v>
      </c>
      <c r="E8" s="161" t="s">
        <v>1256</v>
      </c>
      <c r="F8" s="161" t="s">
        <v>1267</v>
      </c>
      <c r="G8" s="162" t="s">
        <v>1256</v>
      </c>
    </row>
    <row r="9" spans="1:10" ht="33.75" customHeight="1">
      <c r="B9" s="163" t="s">
        <v>1268</v>
      </c>
    </row>
    <row r="18" spans="10:11">
      <c r="J18" s="164" t="s">
        <v>1269</v>
      </c>
    </row>
    <row r="19" spans="10:11">
      <c r="J19" s="165"/>
    </row>
    <row r="32" spans="10:11">
      <c r="K32" s="164" t="s">
        <v>1270</v>
      </c>
    </row>
    <row r="39" spans="11:11">
      <c r="K39" s="164" t="s">
        <v>1271</v>
      </c>
    </row>
    <row r="51" spans="1:7">
      <c r="E51" s="164"/>
    </row>
    <row r="61" spans="1:7">
      <c r="A61" s="166"/>
      <c r="B61" s="166"/>
      <c r="C61" s="166"/>
      <c r="D61" s="166"/>
      <c r="E61" s="166"/>
      <c r="F61" s="166"/>
      <c r="G61" s="166"/>
    </row>
    <row r="62" spans="1:7">
      <c r="A62" s="166"/>
      <c r="B62" s="166"/>
      <c r="C62" s="166"/>
      <c r="D62" s="166"/>
      <c r="E62" s="166"/>
      <c r="F62" s="166"/>
      <c r="G62" s="166"/>
    </row>
    <row r="63" spans="1:7">
      <c r="A63" s="167"/>
      <c r="B63" s="167"/>
      <c r="C63" s="167"/>
      <c r="D63" s="167"/>
      <c r="E63" s="167"/>
      <c r="F63" s="167"/>
      <c r="G63" s="167"/>
    </row>
    <row r="64" spans="1:7">
      <c r="A64" s="168"/>
      <c r="B64" s="168"/>
      <c r="C64" s="168"/>
      <c r="D64" s="168"/>
      <c r="E64" s="168"/>
      <c r="F64" s="168"/>
      <c r="G64" s="168"/>
    </row>
    <row r="65" spans="1:7">
      <c r="A65" s="168"/>
      <c r="B65" s="168"/>
      <c r="C65" s="168"/>
      <c r="D65" s="168"/>
      <c r="E65" s="168"/>
      <c r="F65" s="168"/>
      <c r="G65" s="168"/>
    </row>
    <row r="66" spans="1:7">
      <c r="A66" s="168"/>
      <c r="B66" s="168"/>
      <c r="C66" s="168"/>
      <c r="D66" s="168"/>
      <c r="E66" s="168"/>
      <c r="F66" s="168"/>
      <c r="G66" s="169"/>
    </row>
  </sheetData>
  <mergeCells count="2">
    <mergeCell ref="C1:C2"/>
    <mergeCell ref="I3:I4"/>
  </mergeCells>
  <phoneticPr fontId="25"/>
  <pageMargins left="0.7" right="0.7" top="0.75" bottom="0.75" header="0.3" footer="0.3"/>
  <pageSetup paperSize="9"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99665-E03C-3446-B56B-869F20B0AB79}">
  <sheetPr>
    <pageSetUpPr fitToPage="1"/>
  </sheetPr>
  <dimension ref="B1:J13"/>
  <sheetViews>
    <sheetView showGridLines="0" view="pageBreakPreview" zoomScale="55" zoomScaleNormal="70" zoomScaleSheetLayoutView="55" workbookViewId="0">
      <pane xSplit="1" ySplit="8" topLeftCell="B9" activePane="bottomRight" state="frozen"/>
      <selection pane="topRight" activeCell="F19" sqref="F19"/>
      <selection pane="bottomLeft" activeCell="F19" sqref="F19"/>
      <selection pane="bottomRight" activeCell="I30" sqref="I30"/>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5.6640625" style="88" customWidth="1"/>
    <col min="9" max="9" width="50.6640625" style="87" customWidth="1"/>
    <col min="10" max="16384" width="3.6640625" style="87"/>
  </cols>
  <sheetData>
    <row r="1" spans="2:10" ht="4.5" customHeight="1"/>
    <row r="2" spans="2:10" ht="15" customHeight="1">
      <c r="B2" s="350"/>
      <c r="C2" s="351"/>
      <c r="D2" s="89"/>
      <c r="E2" s="89" t="s">
        <v>523</v>
      </c>
      <c r="F2" s="89" t="s">
        <v>524</v>
      </c>
      <c r="G2" s="90" t="s">
        <v>525</v>
      </c>
      <c r="H2" s="91"/>
      <c r="I2" s="92"/>
    </row>
    <row r="3" spans="2:10" ht="25" customHeight="1">
      <c r="B3" s="352" t="s">
        <v>526</v>
      </c>
      <c r="C3" s="353"/>
      <c r="D3" s="93" t="s">
        <v>527</v>
      </c>
      <c r="E3" s="94"/>
      <c r="F3" s="94"/>
      <c r="G3" s="95"/>
      <c r="H3" s="91"/>
      <c r="I3" s="92"/>
    </row>
    <row r="4" spans="2:10" ht="25" customHeight="1">
      <c r="B4" s="354"/>
      <c r="C4" s="355"/>
      <c r="D4" s="94" t="s">
        <v>528</v>
      </c>
      <c r="E4" s="94"/>
      <c r="F4" s="94"/>
      <c r="G4" s="95"/>
      <c r="H4" s="91"/>
      <c r="I4" s="92"/>
    </row>
    <row r="5" spans="2:10" ht="25" customHeight="1">
      <c r="B5" s="352" t="s">
        <v>529</v>
      </c>
      <c r="C5" s="353"/>
      <c r="D5" s="94" t="s">
        <v>530</v>
      </c>
      <c r="E5" s="94"/>
      <c r="F5" s="95"/>
      <c r="G5" s="96"/>
      <c r="H5" s="91"/>
      <c r="I5" s="92"/>
    </row>
    <row r="6" spans="2:10" ht="25" customHeight="1">
      <c r="B6" s="354"/>
      <c r="C6" s="355"/>
      <c r="D6" s="94" t="s">
        <v>531</v>
      </c>
      <c r="E6" s="94"/>
      <c r="F6" s="95"/>
      <c r="G6" s="96"/>
      <c r="H6" s="91"/>
      <c r="I6" s="92"/>
    </row>
    <row r="7" spans="2:10" ht="16.5" customHeight="1"/>
    <row r="8" spans="2:10" ht="36" customHeight="1" thickBot="1">
      <c r="B8" s="356" t="s">
        <v>293</v>
      </c>
      <c r="C8" s="357"/>
      <c r="D8" s="116" t="s">
        <v>294</v>
      </c>
      <c r="E8" s="116" t="s">
        <v>295</v>
      </c>
      <c r="F8" s="116" t="s">
        <v>296</v>
      </c>
      <c r="G8" s="116" t="s">
        <v>297</v>
      </c>
      <c r="H8" s="97" t="s">
        <v>299</v>
      </c>
      <c r="I8" s="98" t="s">
        <v>300</v>
      </c>
    </row>
    <row r="9" spans="2:10" ht="20.25" customHeight="1" thickTop="1">
      <c r="B9" s="106">
        <v>1</v>
      </c>
      <c r="C9" s="107"/>
      <c r="D9" s="108"/>
      <c r="E9" s="109"/>
      <c r="F9" s="109"/>
      <c r="G9" s="109"/>
      <c r="H9" s="108"/>
      <c r="I9" s="109"/>
    </row>
    <row r="10" spans="2:10" ht="102">
      <c r="B10" s="358" t="s">
        <v>533</v>
      </c>
      <c r="C10" s="358"/>
      <c r="D10" s="28"/>
      <c r="E10" s="27"/>
      <c r="F10" s="28" t="s">
        <v>1272</v>
      </c>
      <c r="G10" s="28"/>
      <c r="H10" s="81"/>
      <c r="I10" s="82"/>
    </row>
    <row r="11" spans="2:10" ht="85">
      <c r="B11" s="358" t="s">
        <v>1273</v>
      </c>
      <c r="C11" s="358"/>
      <c r="D11" s="28"/>
      <c r="E11" s="27"/>
      <c r="F11" s="28" t="s">
        <v>1274</v>
      </c>
      <c r="G11" s="28"/>
      <c r="H11" s="81"/>
      <c r="I11" s="82"/>
      <c r="J11" s="87" t="s">
        <v>1275</v>
      </c>
    </row>
    <row r="12" spans="2:10" ht="51">
      <c r="B12" s="358" t="s">
        <v>1276</v>
      </c>
      <c r="C12" s="358"/>
      <c r="D12" s="28"/>
      <c r="E12" s="28"/>
      <c r="F12" s="28" t="s">
        <v>1277</v>
      </c>
      <c r="G12" s="28"/>
      <c r="H12" s="81"/>
      <c r="I12" s="82"/>
      <c r="J12" s="87" t="s">
        <v>1278</v>
      </c>
    </row>
    <row r="13" spans="2:10" ht="34">
      <c r="B13" s="358" t="s">
        <v>1279</v>
      </c>
      <c r="C13" s="358"/>
      <c r="D13" s="28"/>
      <c r="E13" s="28" t="s">
        <v>1280</v>
      </c>
      <c r="F13" s="28" t="s">
        <v>1281</v>
      </c>
      <c r="G13" s="84" t="s">
        <v>522</v>
      </c>
      <c r="H13" s="81"/>
      <c r="I13" s="82"/>
    </row>
  </sheetData>
  <mergeCells count="10">
    <mergeCell ref="B13:C13"/>
    <mergeCell ref="B11:C11"/>
    <mergeCell ref="B12:C12"/>
    <mergeCell ref="B10:C10"/>
    <mergeCell ref="B2:C2"/>
    <mergeCell ref="B3:C3"/>
    <mergeCell ref="B4:C4"/>
    <mergeCell ref="B5:C5"/>
    <mergeCell ref="B6:C6"/>
    <mergeCell ref="B8:C8"/>
  </mergeCells>
  <phoneticPr fontId="43"/>
  <dataValidations count="1">
    <dataValidation type="list" allowBlank="1" showInputMessage="1" showErrorMessage="1" sqref="H10:H13" xr:uid="{5F419250-6A46-F045-A162-BE87E1B1B72B}">
      <formula1>$J$10:$J$13</formula1>
    </dataValidation>
  </dataValidations>
  <pageMargins left="0.31496062992125984" right="0.31496062992125984" top="0.55118110236220474" bottom="0.55118110236220474" header="0.31496062992125984" footer="0.31496062992125984"/>
  <pageSetup paperSize="9" scale="37" fitToHeight="0" orientation="portrait"/>
  <headerFooter>
    <oddHeader>&amp;C&amp;A</oddHead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E5AD-A051-FA42-B089-B523D2F76A55}">
  <sheetPr codeName="Sheet5">
    <pageSetUpPr fitToPage="1"/>
  </sheetPr>
  <dimension ref="B1:J47"/>
  <sheetViews>
    <sheetView showGridLines="0" view="pageBreakPreview" zoomScale="85" zoomScaleNormal="70" zoomScaleSheetLayoutView="85" workbookViewId="0">
      <pane xSplit="1" ySplit="8" topLeftCell="B39" activePane="bottomRight" state="frozen"/>
      <selection pane="topRight" activeCell="B6" sqref="B6:C6"/>
      <selection pane="bottomLeft" activeCell="B6" sqref="B6:C6"/>
      <selection pane="bottomRight" activeCell="F13" sqref="F13"/>
    </sheetView>
  </sheetViews>
  <sheetFormatPr baseColWidth="10" defaultColWidth="3.6640625" defaultRowHeight="16"/>
  <cols>
    <col min="1" max="1" width="1.5" style="1" customWidth="1"/>
    <col min="2" max="2" width="2.6640625" style="1" customWidth="1"/>
    <col min="3" max="3" width="6.1640625" style="1" customWidth="1"/>
    <col min="4" max="4" width="14.5" style="1" customWidth="1"/>
    <col min="5" max="5" width="19.5" style="1" bestFit="1" customWidth="1"/>
    <col min="6" max="6" width="95.6640625" style="1" customWidth="1"/>
    <col min="7" max="7" width="50.6640625" style="1" customWidth="1"/>
    <col min="8" max="8" width="5.6640625" style="3" customWidth="1"/>
    <col min="9" max="9" width="50.6640625" style="1" customWidth="1"/>
    <col min="10" max="16384" width="3.6640625" style="1"/>
  </cols>
  <sheetData>
    <row r="1" spans="2:10" ht="4.5" customHeight="1"/>
    <row r="2" spans="2:10" ht="15" customHeight="1">
      <c r="B2" s="367"/>
      <c r="C2" s="368"/>
      <c r="D2" s="20"/>
      <c r="E2" s="20" t="s">
        <v>523</v>
      </c>
      <c r="F2" s="20" t="s">
        <v>524</v>
      </c>
      <c r="G2" s="21" t="s">
        <v>525</v>
      </c>
      <c r="H2" s="16"/>
      <c r="I2" s="17"/>
    </row>
    <row r="3" spans="2:10" ht="25" customHeight="1">
      <c r="B3" s="369" t="s">
        <v>526</v>
      </c>
      <c r="C3" s="370"/>
      <c r="D3" s="19" t="s">
        <v>527</v>
      </c>
      <c r="E3" s="18"/>
      <c r="F3" s="18"/>
      <c r="G3" s="22"/>
      <c r="H3" s="16"/>
      <c r="I3" s="17"/>
    </row>
    <row r="4" spans="2:10" ht="25" customHeight="1">
      <c r="B4" s="371"/>
      <c r="C4" s="372"/>
      <c r="D4" s="18" t="s">
        <v>528</v>
      </c>
      <c r="E4" s="18"/>
      <c r="F4" s="18"/>
      <c r="G4" s="22"/>
      <c r="H4" s="16"/>
      <c r="I4" s="17"/>
    </row>
    <row r="5" spans="2:10" ht="25" customHeight="1">
      <c r="B5" s="369" t="s">
        <v>529</v>
      </c>
      <c r="C5" s="370"/>
      <c r="D5" s="18" t="s">
        <v>530</v>
      </c>
      <c r="E5" s="18"/>
      <c r="F5" s="22"/>
      <c r="G5" s="15"/>
      <c r="H5" s="16"/>
      <c r="I5" s="17"/>
    </row>
    <row r="6" spans="2:10" ht="25" customHeight="1">
      <c r="B6" s="371"/>
      <c r="C6" s="372"/>
      <c r="D6" s="18" t="s">
        <v>531</v>
      </c>
      <c r="E6" s="18"/>
      <c r="F6" s="22"/>
      <c r="G6" s="15"/>
      <c r="H6" s="16"/>
      <c r="I6" s="17"/>
    </row>
    <row r="7" spans="2:10" ht="16.5" customHeight="1"/>
    <row r="8" spans="2:10" ht="36" customHeight="1">
      <c r="B8" s="356" t="s">
        <v>293</v>
      </c>
      <c r="C8" s="357"/>
      <c r="D8" s="116" t="s">
        <v>294</v>
      </c>
      <c r="E8" s="116" t="s">
        <v>295</v>
      </c>
      <c r="F8" s="116" t="s">
        <v>296</v>
      </c>
      <c r="G8" s="116" t="s">
        <v>297</v>
      </c>
      <c r="H8" s="97" t="s">
        <v>299</v>
      </c>
      <c r="I8" s="98" t="s">
        <v>300</v>
      </c>
    </row>
    <row r="9" spans="2:10" ht="20.25" customHeight="1">
      <c r="B9" s="99">
        <v>1</v>
      </c>
      <c r="C9" s="100" t="s">
        <v>1282</v>
      </c>
      <c r="D9" s="101"/>
      <c r="E9" s="102"/>
      <c r="F9" s="102"/>
      <c r="G9" s="102"/>
      <c r="H9" s="103"/>
      <c r="I9" s="104"/>
    </row>
    <row r="10" spans="2:10" ht="34">
      <c r="B10" s="345" t="s">
        <v>302</v>
      </c>
      <c r="C10" s="346"/>
      <c r="D10" s="27" t="s">
        <v>1283</v>
      </c>
      <c r="E10" s="84" t="s">
        <v>1284</v>
      </c>
      <c r="F10" s="84" t="s">
        <v>1285</v>
      </c>
      <c r="G10" s="84"/>
      <c r="H10" s="81"/>
      <c r="I10" s="82"/>
    </row>
    <row r="11" spans="2:10" ht="51">
      <c r="B11" s="345" t="s">
        <v>306</v>
      </c>
      <c r="C11" s="346"/>
      <c r="D11" s="181"/>
      <c r="E11" s="28" t="s">
        <v>1286</v>
      </c>
      <c r="F11" s="28" t="s">
        <v>1287</v>
      </c>
      <c r="G11" s="84"/>
      <c r="H11" s="81"/>
      <c r="I11" s="82"/>
      <c r="J11" s="26" t="s">
        <v>1191</v>
      </c>
    </row>
    <row r="12" spans="2:10" ht="34">
      <c r="B12" s="345" t="s">
        <v>706</v>
      </c>
      <c r="C12" s="346"/>
      <c r="D12" s="181"/>
      <c r="E12" s="28" t="s">
        <v>1288</v>
      </c>
      <c r="F12" s="28" t="s">
        <v>1289</v>
      </c>
      <c r="G12" s="84"/>
      <c r="H12" s="81"/>
      <c r="I12" s="82"/>
      <c r="J12" s="26" t="s">
        <v>1194</v>
      </c>
    </row>
    <row r="13" spans="2:10" ht="51">
      <c r="B13" s="345" t="s">
        <v>708</v>
      </c>
      <c r="C13" s="346"/>
      <c r="D13" s="27" t="s">
        <v>1290</v>
      </c>
      <c r="E13" s="28" t="s">
        <v>1291</v>
      </c>
      <c r="F13" s="28" t="s">
        <v>1292</v>
      </c>
      <c r="G13" s="28"/>
      <c r="H13" s="81"/>
      <c r="I13" s="82"/>
    </row>
    <row r="14" spans="2:10" ht="34">
      <c r="B14" s="345" t="s">
        <v>711</v>
      </c>
      <c r="C14" s="346"/>
      <c r="D14" s="30"/>
      <c r="E14" s="28" t="s">
        <v>1294</v>
      </c>
      <c r="F14" s="28" t="s">
        <v>1295</v>
      </c>
      <c r="G14" s="28"/>
      <c r="H14" s="81"/>
      <c r="I14" s="82"/>
    </row>
    <row r="15" spans="2:10" ht="51">
      <c r="B15" s="345" t="s">
        <v>1293</v>
      </c>
      <c r="C15" s="346"/>
      <c r="D15" s="27" t="s">
        <v>1533</v>
      </c>
      <c r="E15" s="28" t="s">
        <v>1298</v>
      </c>
      <c r="F15" s="28" t="s">
        <v>1299</v>
      </c>
      <c r="G15" s="28"/>
      <c r="H15" s="81"/>
      <c r="I15" s="82"/>
    </row>
    <row r="16" spans="2:10" ht="34">
      <c r="B16" s="345" t="s">
        <v>1296</v>
      </c>
      <c r="C16" s="346"/>
      <c r="D16" s="29"/>
      <c r="E16" s="28" t="s">
        <v>1301</v>
      </c>
      <c r="F16" s="28" t="s">
        <v>1302</v>
      </c>
      <c r="G16" s="28"/>
      <c r="H16" s="81"/>
      <c r="I16" s="82"/>
    </row>
    <row r="17" spans="2:10" ht="34">
      <c r="B17" s="345" t="s">
        <v>1300</v>
      </c>
      <c r="C17" s="346"/>
      <c r="D17" s="29"/>
      <c r="E17" s="28" t="s">
        <v>1304</v>
      </c>
      <c r="F17" s="28" t="s">
        <v>1305</v>
      </c>
      <c r="G17" s="28"/>
      <c r="H17" s="81"/>
      <c r="I17" s="82"/>
    </row>
    <row r="18" spans="2:10" ht="51">
      <c r="B18" s="345" t="s">
        <v>1303</v>
      </c>
      <c r="C18" s="346"/>
      <c r="D18" s="29"/>
      <c r="E18" s="28" t="s">
        <v>1307</v>
      </c>
      <c r="F18" s="28" t="s">
        <v>1308</v>
      </c>
      <c r="G18" s="28"/>
      <c r="H18" s="81"/>
      <c r="I18" s="82" t="s">
        <v>1530</v>
      </c>
      <c r="J18" s="26" t="s">
        <v>1223</v>
      </c>
    </row>
    <row r="19" spans="2:10" ht="34">
      <c r="B19" s="345" t="s">
        <v>1306</v>
      </c>
      <c r="C19" s="346"/>
      <c r="D19" s="29"/>
      <c r="E19" s="28" t="s">
        <v>1310</v>
      </c>
      <c r="F19" s="28" t="s">
        <v>1311</v>
      </c>
      <c r="G19" s="28"/>
      <c r="H19" s="81"/>
      <c r="I19" s="82" t="s">
        <v>1531</v>
      </c>
    </row>
    <row r="20" spans="2:10" ht="34">
      <c r="B20" s="345" t="s">
        <v>1309</v>
      </c>
      <c r="C20" s="346"/>
      <c r="D20" s="30"/>
      <c r="E20" s="28" t="s">
        <v>1313</v>
      </c>
      <c r="F20" s="28" t="s">
        <v>1314</v>
      </c>
      <c r="G20" s="28"/>
      <c r="H20" s="81"/>
      <c r="I20" s="82"/>
    </row>
    <row r="21" spans="2:10" ht="34">
      <c r="B21" s="345" t="s">
        <v>1312</v>
      </c>
      <c r="C21" s="346"/>
      <c r="D21" s="27" t="s">
        <v>1316</v>
      </c>
      <c r="E21" s="28" t="s">
        <v>1317</v>
      </c>
      <c r="F21" s="28" t="s">
        <v>1318</v>
      </c>
      <c r="G21" s="28"/>
      <c r="H21" s="81"/>
      <c r="I21" s="82"/>
    </row>
    <row r="22" spans="2:10" ht="34">
      <c r="B22" s="345" t="s">
        <v>1315</v>
      </c>
      <c r="C22" s="346"/>
      <c r="D22" s="30"/>
      <c r="E22" s="28" t="s">
        <v>1320</v>
      </c>
      <c r="F22" s="28" t="s">
        <v>1321</v>
      </c>
      <c r="G22" s="28"/>
      <c r="H22" s="81"/>
      <c r="I22" s="82"/>
    </row>
    <row r="23" spans="2:10" ht="34">
      <c r="B23" s="345" t="s">
        <v>1319</v>
      </c>
      <c r="C23" s="346"/>
      <c r="D23" s="28" t="s">
        <v>1323</v>
      </c>
      <c r="E23" s="28" t="s">
        <v>1323</v>
      </c>
      <c r="F23" s="28" t="s">
        <v>1324</v>
      </c>
      <c r="G23" s="28"/>
      <c r="H23" s="81"/>
      <c r="I23" s="82"/>
    </row>
    <row r="24" spans="2:10" ht="51">
      <c r="B24" s="345" t="s">
        <v>1322</v>
      </c>
      <c r="C24" s="346"/>
      <c r="D24" s="28" t="s">
        <v>1326</v>
      </c>
      <c r="E24" s="28" t="s">
        <v>1327</v>
      </c>
      <c r="F24" s="28" t="s">
        <v>1328</v>
      </c>
      <c r="G24" s="28"/>
      <c r="H24" s="81"/>
      <c r="I24" s="82"/>
    </row>
    <row r="25" spans="2:10" ht="34">
      <c r="B25" s="345" t="s">
        <v>1325</v>
      </c>
      <c r="C25" s="346"/>
      <c r="D25" s="28" t="s">
        <v>1330</v>
      </c>
      <c r="E25" s="28" t="s">
        <v>1331</v>
      </c>
      <c r="F25" s="28" t="s">
        <v>1332</v>
      </c>
      <c r="G25" s="28"/>
      <c r="H25" s="81"/>
      <c r="I25" s="82"/>
    </row>
    <row r="26" spans="2:10" ht="20.25" customHeight="1">
      <c r="B26" s="106">
        <v>2</v>
      </c>
      <c r="C26" s="107" t="s">
        <v>1333</v>
      </c>
      <c r="D26" s="108"/>
      <c r="E26" s="109"/>
      <c r="F26" s="109"/>
      <c r="G26" s="109"/>
      <c r="H26" s="108"/>
      <c r="I26" s="109"/>
      <c r="J26" s="26" t="s">
        <v>1194</v>
      </c>
    </row>
    <row r="27" spans="2:10" ht="51">
      <c r="B27" s="358" t="s">
        <v>540</v>
      </c>
      <c r="C27" s="358"/>
      <c r="D27" s="27" t="s">
        <v>823</v>
      </c>
      <c r="E27" s="28" t="s">
        <v>1334</v>
      </c>
      <c r="F27" s="28" t="s">
        <v>1335</v>
      </c>
      <c r="G27" s="28"/>
      <c r="H27" s="81"/>
      <c r="I27" s="82"/>
    </row>
    <row r="28" spans="2:10" ht="51">
      <c r="B28" s="358" t="s">
        <v>317</v>
      </c>
      <c r="C28" s="358"/>
      <c r="D28" s="29"/>
      <c r="E28" s="28" t="s">
        <v>1336</v>
      </c>
      <c r="F28" s="28" t="s">
        <v>1337</v>
      </c>
      <c r="G28" s="28"/>
      <c r="H28" s="81"/>
      <c r="I28" s="82"/>
    </row>
    <row r="29" spans="2:10" ht="68">
      <c r="B29" s="358" t="s">
        <v>318</v>
      </c>
      <c r="C29" s="358"/>
      <c r="D29" s="29"/>
      <c r="E29" s="28" t="s">
        <v>784</v>
      </c>
      <c r="F29" s="28" t="s">
        <v>1338</v>
      </c>
      <c r="G29" s="28"/>
      <c r="H29" s="81"/>
      <c r="I29" s="82"/>
    </row>
    <row r="30" spans="2:10" ht="119">
      <c r="B30" s="358" t="s">
        <v>321</v>
      </c>
      <c r="C30" s="358"/>
      <c r="D30" s="30"/>
      <c r="E30" s="69" t="s">
        <v>1534</v>
      </c>
      <c r="F30" s="69" t="s">
        <v>1535</v>
      </c>
      <c r="G30" s="28"/>
      <c r="H30" s="81"/>
      <c r="I30" s="82" t="s">
        <v>1536</v>
      </c>
    </row>
    <row r="31" spans="2:10" ht="34">
      <c r="B31" s="358" t="s">
        <v>324</v>
      </c>
      <c r="C31" s="358"/>
      <c r="D31" s="28" t="s">
        <v>1290</v>
      </c>
      <c r="E31" s="28" t="s">
        <v>1294</v>
      </c>
      <c r="F31" s="28" t="s">
        <v>1339</v>
      </c>
      <c r="G31" s="28"/>
      <c r="H31" s="81"/>
      <c r="I31" s="82"/>
    </row>
    <row r="32" spans="2:10" ht="34">
      <c r="B32" s="358" t="s">
        <v>326</v>
      </c>
      <c r="C32" s="358"/>
      <c r="D32" s="27" t="s">
        <v>786</v>
      </c>
      <c r="E32" s="28" t="s">
        <v>747</v>
      </c>
      <c r="F32" s="28" t="s">
        <v>1340</v>
      </c>
      <c r="G32" s="28"/>
      <c r="H32" s="81"/>
      <c r="I32" s="82"/>
    </row>
    <row r="33" spans="2:9" ht="34">
      <c r="B33" s="358" t="s">
        <v>327</v>
      </c>
      <c r="C33" s="358"/>
      <c r="D33" s="29"/>
      <c r="E33" s="28" t="s">
        <v>1341</v>
      </c>
      <c r="F33" s="28" t="s">
        <v>1342</v>
      </c>
      <c r="G33" s="28"/>
      <c r="H33" s="81"/>
      <c r="I33" s="82"/>
    </row>
    <row r="34" spans="2:9" ht="68">
      <c r="B34" s="358" t="s">
        <v>330</v>
      </c>
      <c r="C34" s="358"/>
      <c r="D34" s="30"/>
      <c r="E34" s="28" t="s">
        <v>1343</v>
      </c>
      <c r="F34" s="28" t="s">
        <v>1344</v>
      </c>
      <c r="G34" s="28" t="s">
        <v>1345</v>
      </c>
      <c r="H34" s="81"/>
      <c r="I34" s="82" t="s">
        <v>1346</v>
      </c>
    </row>
    <row r="35" spans="2:9" ht="34">
      <c r="B35" s="358" t="s">
        <v>334</v>
      </c>
      <c r="C35" s="358"/>
      <c r="D35" s="28" t="s">
        <v>378</v>
      </c>
      <c r="E35" s="28" t="s">
        <v>747</v>
      </c>
      <c r="F35" s="28" t="s">
        <v>1340</v>
      </c>
      <c r="G35" s="28"/>
      <c r="H35" s="81"/>
      <c r="I35" s="82"/>
    </row>
    <row r="36" spans="2:9" ht="34">
      <c r="B36" s="358" t="s">
        <v>335</v>
      </c>
      <c r="C36" s="358"/>
      <c r="D36" s="27" t="s">
        <v>784</v>
      </c>
      <c r="E36" s="28" t="s">
        <v>747</v>
      </c>
      <c r="F36" s="28" t="s">
        <v>1340</v>
      </c>
      <c r="G36" s="28"/>
      <c r="H36" s="81"/>
      <c r="I36" s="82"/>
    </row>
    <row r="37" spans="2:9" ht="34">
      <c r="B37" s="358" t="s">
        <v>336</v>
      </c>
      <c r="C37" s="358"/>
      <c r="D37" s="29"/>
      <c r="E37" s="28" t="s">
        <v>795</v>
      </c>
      <c r="F37" s="28" t="s">
        <v>1347</v>
      </c>
      <c r="G37" s="28"/>
      <c r="H37" s="81"/>
      <c r="I37" s="82"/>
    </row>
    <row r="38" spans="2:9" ht="34">
      <c r="B38" s="358" t="s">
        <v>339</v>
      </c>
      <c r="C38" s="358"/>
      <c r="D38" s="29"/>
      <c r="E38" s="28" t="s">
        <v>798</v>
      </c>
      <c r="F38" s="28" t="s">
        <v>799</v>
      </c>
      <c r="G38" s="28"/>
      <c r="H38" s="81"/>
      <c r="I38" s="82"/>
    </row>
    <row r="39" spans="2:9" ht="68">
      <c r="B39" s="358" t="s">
        <v>342</v>
      </c>
      <c r="C39" s="358"/>
      <c r="D39" s="29"/>
      <c r="E39" s="28" t="s">
        <v>1348</v>
      </c>
      <c r="F39" s="28" t="s">
        <v>1349</v>
      </c>
      <c r="G39" s="28" t="s">
        <v>1350</v>
      </c>
      <c r="H39" s="81"/>
      <c r="I39" s="82"/>
    </row>
    <row r="40" spans="2:9" ht="51">
      <c r="B40" s="358" t="s">
        <v>344</v>
      </c>
      <c r="C40" s="358"/>
      <c r="D40" s="29"/>
      <c r="E40" s="28" t="s">
        <v>1351</v>
      </c>
      <c r="F40" s="28" t="s">
        <v>1352</v>
      </c>
      <c r="G40" s="28" t="s">
        <v>1353</v>
      </c>
      <c r="H40" s="81"/>
      <c r="I40" s="82"/>
    </row>
    <row r="41" spans="2:9" s="111" customFormat="1" ht="51">
      <c r="B41" s="358" t="s">
        <v>345</v>
      </c>
      <c r="C41" s="358"/>
      <c r="D41" s="30"/>
      <c r="E41" s="28" t="s">
        <v>1354</v>
      </c>
      <c r="F41" s="28" t="s">
        <v>1355</v>
      </c>
      <c r="G41" s="28" t="s">
        <v>1356</v>
      </c>
      <c r="H41" s="81"/>
      <c r="I41" s="82"/>
    </row>
    <row r="42" spans="2:9" ht="34">
      <c r="B42" s="358" t="s">
        <v>347</v>
      </c>
      <c r="C42" s="358"/>
      <c r="D42" s="27" t="s">
        <v>781</v>
      </c>
      <c r="E42" s="28" t="s">
        <v>496</v>
      </c>
      <c r="F42" s="28" t="s">
        <v>845</v>
      </c>
      <c r="G42" s="28"/>
      <c r="H42" s="81"/>
      <c r="I42" s="82"/>
    </row>
    <row r="43" spans="2:9" ht="34">
      <c r="B43" s="358" t="s">
        <v>349</v>
      </c>
      <c r="C43" s="358"/>
      <c r="D43" s="29"/>
      <c r="E43" s="28" t="s">
        <v>793</v>
      </c>
      <c r="F43" s="28" t="s">
        <v>1357</v>
      </c>
      <c r="G43" s="28"/>
      <c r="H43" s="81"/>
      <c r="I43" s="82"/>
    </row>
    <row r="44" spans="2:9" ht="34">
      <c r="B44" s="358" t="s">
        <v>351</v>
      </c>
      <c r="C44" s="358"/>
      <c r="D44" s="29"/>
      <c r="E44" s="28" t="s">
        <v>1358</v>
      </c>
      <c r="F44" s="28" t="s">
        <v>1359</v>
      </c>
      <c r="G44" s="28"/>
      <c r="H44" s="81"/>
      <c r="I44" s="82"/>
    </row>
    <row r="45" spans="2:9" ht="34">
      <c r="B45" s="358" t="s">
        <v>354</v>
      </c>
      <c r="C45" s="358"/>
      <c r="D45" s="29"/>
      <c r="E45" s="28" t="s">
        <v>1360</v>
      </c>
      <c r="F45" s="28" t="s">
        <v>1361</v>
      </c>
      <c r="G45" s="28"/>
      <c r="H45" s="81"/>
      <c r="I45" s="82"/>
    </row>
    <row r="46" spans="2:9" ht="34">
      <c r="B46" s="358" t="s">
        <v>356</v>
      </c>
      <c r="C46" s="358"/>
      <c r="D46" s="29"/>
      <c r="E46" s="28" t="s">
        <v>1362</v>
      </c>
      <c r="F46" s="28" t="s">
        <v>1363</v>
      </c>
      <c r="G46" s="28"/>
      <c r="H46" s="81"/>
      <c r="I46" s="82"/>
    </row>
    <row r="47" spans="2:9" ht="51">
      <c r="B47" s="358" t="s">
        <v>359</v>
      </c>
      <c r="C47" s="358"/>
      <c r="D47" s="29"/>
      <c r="E47" s="172" t="s">
        <v>1364</v>
      </c>
      <c r="F47" s="28" t="s">
        <v>1365</v>
      </c>
      <c r="G47" s="84" t="s">
        <v>522</v>
      </c>
      <c r="H47" s="81"/>
      <c r="I47" s="82"/>
    </row>
  </sheetData>
  <mergeCells count="43">
    <mergeCell ref="B46:C46"/>
    <mergeCell ref="B37:C37"/>
    <mergeCell ref="B41:C41"/>
    <mergeCell ref="B42:C42"/>
    <mergeCell ref="B43:C43"/>
    <mergeCell ref="B47:C47"/>
    <mergeCell ref="B44:C44"/>
    <mergeCell ref="B45:C45"/>
    <mergeCell ref="B38:C38"/>
    <mergeCell ref="B40:C40"/>
    <mergeCell ref="B39:C39"/>
    <mergeCell ref="B28:C28"/>
    <mergeCell ref="B29:C29"/>
    <mergeCell ref="B30:C30"/>
    <mergeCell ref="B31:C31"/>
    <mergeCell ref="B32:C32"/>
    <mergeCell ref="B36:C36"/>
    <mergeCell ref="B18:C18"/>
    <mergeCell ref="B19:C19"/>
    <mergeCell ref="B20:C20"/>
    <mergeCell ref="B21:C21"/>
    <mergeCell ref="B35:C35"/>
    <mergeCell ref="B33:C33"/>
    <mergeCell ref="B24:C24"/>
    <mergeCell ref="B25:C25"/>
    <mergeCell ref="B27:C27"/>
    <mergeCell ref="B34:C34"/>
    <mergeCell ref="B23:C23"/>
    <mergeCell ref="B12:C12"/>
    <mergeCell ref="B14:C14"/>
    <mergeCell ref="B15:C15"/>
    <mergeCell ref="B17:C17"/>
    <mergeCell ref="B10:C10"/>
    <mergeCell ref="B16:C16"/>
    <mergeCell ref="B22:C22"/>
    <mergeCell ref="B11:C11"/>
    <mergeCell ref="B13:C13"/>
    <mergeCell ref="B2:C2"/>
    <mergeCell ref="B3:C3"/>
    <mergeCell ref="B4:C4"/>
    <mergeCell ref="B6:C6"/>
    <mergeCell ref="B8:C8"/>
    <mergeCell ref="B5:C5"/>
  </mergeCells>
  <phoneticPr fontId="9"/>
  <dataValidations count="1">
    <dataValidation type="list" allowBlank="1" showInputMessage="1" showErrorMessage="1" sqref="H27:H47 H10:H25" xr:uid="{F105AB8A-ED17-0F49-9014-80DA0D4DEB11}">
      <formula1>$J$10:$J$12</formula1>
    </dataValidation>
  </dataValidations>
  <pageMargins left="0.31496062992125984" right="0.31496062992125984" top="0.55118110236220474" bottom="0.55118110236220474" header="0.31496062992125984" footer="0.31496062992125984"/>
  <pageSetup paperSize="9" scale="37" fitToHeight="0" orientation="portrait"/>
  <headerFooter>
    <oddHeader>&amp;C&amp;A</oddHead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7473-559E-0440-B132-1196FED4136D}">
  <sheetPr>
    <pageSetUpPr fitToPage="1"/>
  </sheetPr>
  <dimension ref="B1:J50"/>
  <sheetViews>
    <sheetView showGridLines="0" view="pageBreakPreview" zoomScaleNormal="70" zoomScaleSheetLayoutView="100" workbookViewId="0">
      <pane xSplit="1" ySplit="8" topLeftCell="B44" activePane="bottomRight" state="frozen"/>
      <selection pane="topRight" activeCell="B6" sqref="B6:C6"/>
      <selection pane="bottomLeft" activeCell="B6" sqref="B6:C6"/>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customWidth="1"/>
    <col min="7" max="7" width="50.6640625" style="87" customWidth="1"/>
    <col min="8" max="8" width="5.6640625" style="88" customWidth="1"/>
    <col min="9" max="9" width="50.6640625" style="87" customWidth="1"/>
    <col min="10" max="16384" width="3.6640625" style="87"/>
  </cols>
  <sheetData>
    <row r="1" spans="2:10" ht="4.5" customHeight="1"/>
    <row r="2" spans="2:10" ht="15" customHeight="1">
      <c r="B2" s="350"/>
      <c r="C2" s="351"/>
      <c r="D2" s="89"/>
      <c r="E2" s="89" t="s">
        <v>278</v>
      </c>
      <c r="F2" s="89" t="s">
        <v>279</v>
      </c>
      <c r="G2" s="90" t="s">
        <v>280</v>
      </c>
      <c r="H2" s="91"/>
      <c r="I2" s="92"/>
    </row>
    <row r="3" spans="2:10" ht="25" customHeight="1">
      <c r="B3" s="352" t="s">
        <v>281</v>
      </c>
      <c r="C3" s="353"/>
      <c r="D3" s="93" t="s">
        <v>282</v>
      </c>
      <c r="E3" s="94"/>
      <c r="F3" s="94"/>
      <c r="G3" s="95"/>
      <c r="H3" s="91"/>
      <c r="I3" s="92"/>
    </row>
    <row r="4" spans="2:10" ht="25" customHeight="1">
      <c r="B4" s="354"/>
      <c r="C4" s="355"/>
      <c r="D4" s="94" t="s">
        <v>283</v>
      </c>
      <c r="E4" s="94"/>
      <c r="F4" s="94"/>
      <c r="G4" s="95"/>
      <c r="H4" s="91"/>
      <c r="I4" s="92"/>
    </row>
    <row r="5" spans="2:10" ht="25" customHeight="1">
      <c r="B5" s="352" t="s">
        <v>284</v>
      </c>
      <c r="C5" s="353"/>
      <c r="D5" s="94" t="s">
        <v>285</v>
      </c>
      <c r="E5" s="94"/>
      <c r="F5" s="95"/>
      <c r="G5" s="96"/>
      <c r="H5" s="91"/>
      <c r="I5" s="92"/>
    </row>
    <row r="6" spans="2:10" ht="25" customHeight="1">
      <c r="B6" s="354"/>
      <c r="C6" s="355"/>
      <c r="D6" s="94" t="s">
        <v>286</v>
      </c>
      <c r="E6" s="94"/>
      <c r="F6" s="95"/>
      <c r="G6" s="96"/>
      <c r="H6" s="91"/>
      <c r="I6" s="92"/>
    </row>
    <row r="7" spans="2:10" ht="16.5" customHeight="1"/>
    <row r="8" spans="2:10" ht="36" customHeight="1" thickBot="1">
      <c r="B8" s="356" t="s">
        <v>293</v>
      </c>
      <c r="C8" s="357"/>
      <c r="D8" s="332" t="s">
        <v>294</v>
      </c>
      <c r="E8" s="332" t="s">
        <v>295</v>
      </c>
      <c r="F8" s="332" t="s">
        <v>296</v>
      </c>
      <c r="G8" s="332" t="s">
        <v>297</v>
      </c>
      <c r="H8" s="97" t="s">
        <v>299</v>
      </c>
      <c r="I8" s="98" t="s">
        <v>1540</v>
      </c>
    </row>
    <row r="9" spans="2:10" ht="20.25" customHeight="1" thickTop="1">
      <c r="B9" s="99">
        <v>1</v>
      </c>
      <c r="C9" s="100" t="s">
        <v>1366</v>
      </c>
      <c r="D9" s="101"/>
      <c r="E9" s="102"/>
      <c r="F9" s="102"/>
      <c r="G9" s="102"/>
      <c r="H9" s="103"/>
      <c r="I9" s="104"/>
    </row>
    <row r="10" spans="2:10" ht="34">
      <c r="B10" s="345" t="s">
        <v>302</v>
      </c>
      <c r="C10" s="346"/>
      <c r="D10" s="27" t="s">
        <v>1283</v>
      </c>
      <c r="E10" s="28" t="s">
        <v>1284</v>
      </c>
      <c r="F10" s="84" t="s">
        <v>1285</v>
      </c>
      <c r="G10" s="84"/>
      <c r="H10" s="81"/>
      <c r="I10" s="82"/>
    </row>
    <row r="11" spans="2:10" ht="51">
      <c r="B11" s="345" t="s">
        <v>306</v>
      </c>
      <c r="C11" s="346"/>
      <c r="D11" s="181"/>
      <c r="E11" s="28" t="s">
        <v>1286</v>
      </c>
      <c r="F11" s="28" t="s">
        <v>1287</v>
      </c>
      <c r="G11" s="84"/>
      <c r="H11" s="81"/>
      <c r="I11" s="82"/>
      <c r="J11" s="87" t="s">
        <v>310</v>
      </c>
    </row>
    <row r="12" spans="2:10" ht="34">
      <c r="B12" s="345" t="s">
        <v>706</v>
      </c>
      <c r="C12" s="346"/>
      <c r="D12" s="181"/>
      <c r="E12" s="28" t="s">
        <v>1288</v>
      </c>
      <c r="F12" s="28" t="s">
        <v>1289</v>
      </c>
      <c r="G12" s="84"/>
      <c r="H12" s="81"/>
      <c r="I12" s="82"/>
      <c r="J12" s="87" t="s">
        <v>312</v>
      </c>
    </row>
    <row r="13" spans="2:10" ht="51">
      <c r="B13" s="345" t="s">
        <v>708</v>
      </c>
      <c r="C13" s="346"/>
      <c r="D13" s="27" t="s">
        <v>1290</v>
      </c>
      <c r="E13" s="28" t="s">
        <v>1291</v>
      </c>
      <c r="F13" s="28" t="s">
        <v>1292</v>
      </c>
      <c r="G13" s="28"/>
      <c r="H13" s="81"/>
      <c r="I13" s="82"/>
    </row>
    <row r="14" spans="2:10" ht="34">
      <c r="B14" s="345" t="s">
        <v>711</v>
      </c>
      <c r="C14" s="346"/>
      <c r="D14" s="30"/>
      <c r="E14" s="28" t="s">
        <v>1294</v>
      </c>
      <c r="F14" s="28" t="s">
        <v>1295</v>
      </c>
      <c r="G14" s="28"/>
      <c r="H14" s="81"/>
      <c r="I14" s="82"/>
    </row>
    <row r="15" spans="2:10" ht="34">
      <c r="B15" s="345" t="s">
        <v>1293</v>
      </c>
      <c r="C15" s="346"/>
      <c r="D15" s="27" t="s">
        <v>1297</v>
      </c>
      <c r="E15" s="28" t="s">
        <v>1298</v>
      </c>
      <c r="F15" s="28" t="s">
        <v>1299</v>
      </c>
      <c r="G15" s="28"/>
      <c r="H15" s="81"/>
      <c r="I15" s="82"/>
    </row>
    <row r="16" spans="2:10" ht="34">
      <c r="B16" s="345" t="s">
        <v>1296</v>
      </c>
      <c r="C16" s="346"/>
      <c r="D16" s="29"/>
      <c r="E16" s="28" t="s">
        <v>1367</v>
      </c>
      <c r="F16" s="28" t="s">
        <v>1302</v>
      </c>
      <c r="G16" s="28"/>
      <c r="H16" s="81"/>
      <c r="I16" s="82"/>
    </row>
    <row r="17" spans="2:10" ht="34">
      <c r="B17" s="345" t="s">
        <v>1300</v>
      </c>
      <c r="C17" s="346"/>
      <c r="D17" s="29"/>
      <c r="E17" s="28" t="s">
        <v>1304</v>
      </c>
      <c r="F17" s="28" t="s">
        <v>1305</v>
      </c>
      <c r="G17" s="28"/>
      <c r="H17" s="81"/>
      <c r="I17" s="82"/>
    </row>
    <row r="18" spans="2:10" ht="51">
      <c r="B18" s="345" t="s">
        <v>1303</v>
      </c>
      <c r="C18" s="346"/>
      <c r="D18" s="29"/>
      <c r="E18" s="28" t="s">
        <v>1307</v>
      </c>
      <c r="F18" s="28" t="s">
        <v>1308</v>
      </c>
      <c r="G18" s="28"/>
      <c r="H18" s="81"/>
      <c r="I18" s="82"/>
      <c r="J18" s="87" t="s">
        <v>316</v>
      </c>
    </row>
    <row r="19" spans="2:10" ht="34">
      <c r="B19" s="345" t="s">
        <v>1306</v>
      </c>
      <c r="C19" s="346"/>
      <c r="D19" s="29"/>
      <c r="E19" s="28" t="s">
        <v>1310</v>
      </c>
      <c r="F19" s="28" t="s">
        <v>1311</v>
      </c>
      <c r="G19" s="28"/>
      <c r="H19" s="81"/>
      <c r="I19" s="82"/>
    </row>
    <row r="20" spans="2:10" ht="34">
      <c r="B20" s="345" t="s">
        <v>1309</v>
      </c>
      <c r="C20" s="346"/>
      <c r="D20" s="30"/>
      <c r="E20" s="28" t="s">
        <v>1313</v>
      </c>
      <c r="F20" s="28" t="s">
        <v>1314</v>
      </c>
      <c r="G20" s="28"/>
      <c r="H20" s="81"/>
      <c r="I20" s="82"/>
    </row>
    <row r="21" spans="2:10" ht="34">
      <c r="B21" s="345" t="s">
        <v>1312</v>
      </c>
      <c r="C21" s="346"/>
      <c r="D21" s="27" t="s">
        <v>1316</v>
      </c>
      <c r="E21" s="28" t="s">
        <v>1317</v>
      </c>
      <c r="F21" s="28" t="s">
        <v>1318</v>
      </c>
      <c r="G21" s="28"/>
      <c r="H21" s="81"/>
      <c r="I21" s="82"/>
    </row>
    <row r="22" spans="2:10" ht="34">
      <c r="B22" s="345" t="s">
        <v>1315</v>
      </c>
      <c r="C22" s="346"/>
      <c r="D22" s="30"/>
      <c r="E22" s="28" t="s">
        <v>1320</v>
      </c>
      <c r="F22" s="28" t="s">
        <v>1321</v>
      </c>
      <c r="G22" s="28"/>
      <c r="H22" s="81"/>
      <c r="I22" s="82"/>
    </row>
    <row r="23" spans="2:10" ht="34">
      <c r="B23" s="345" t="s">
        <v>1319</v>
      </c>
      <c r="C23" s="346"/>
      <c r="D23" s="28" t="s">
        <v>1323</v>
      </c>
      <c r="E23" s="28" t="s">
        <v>1323</v>
      </c>
      <c r="F23" s="28" t="s">
        <v>1324</v>
      </c>
      <c r="G23" s="28"/>
      <c r="H23" s="81"/>
      <c r="I23" s="82"/>
    </row>
    <row r="24" spans="2:10" ht="51">
      <c r="B24" s="345" t="s">
        <v>1322</v>
      </c>
      <c r="C24" s="346"/>
      <c r="D24" s="28" t="s">
        <v>1326</v>
      </c>
      <c r="E24" s="28" t="s">
        <v>1327</v>
      </c>
      <c r="F24" s="28" t="s">
        <v>1328</v>
      </c>
      <c r="G24" s="28"/>
      <c r="H24" s="81"/>
      <c r="I24" s="82"/>
    </row>
    <row r="25" spans="2:10" ht="34">
      <c r="B25" s="345" t="s">
        <v>1325</v>
      </c>
      <c r="C25" s="346"/>
      <c r="D25" s="28" t="s">
        <v>1330</v>
      </c>
      <c r="E25" s="28" t="s">
        <v>1368</v>
      </c>
      <c r="F25" s="28" t="s">
        <v>1332</v>
      </c>
      <c r="G25" s="28"/>
      <c r="H25" s="81"/>
      <c r="I25" s="82"/>
    </row>
    <row r="26" spans="2:10" ht="20.25" customHeight="1">
      <c r="B26" s="106">
        <v>2</v>
      </c>
      <c r="C26" s="107" t="s">
        <v>1333</v>
      </c>
      <c r="D26" s="108"/>
      <c r="E26" s="109"/>
      <c r="F26" s="109"/>
      <c r="G26" s="109"/>
      <c r="H26" s="108"/>
      <c r="I26" s="109"/>
    </row>
    <row r="27" spans="2:10" ht="34">
      <c r="B27" s="358" t="s">
        <v>313</v>
      </c>
      <c r="C27" s="358"/>
      <c r="D27" s="27" t="s">
        <v>786</v>
      </c>
      <c r="E27" s="28" t="s">
        <v>747</v>
      </c>
      <c r="F27" s="84" t="s">
        <v>1542</v>
      </c>
      <c r="G27" s="84"/>
      <c r="H27" s="81"/>
      <c r="I27" s="82"/>
    </row>
    <row r="28" spans="2:10" ht="34">
      <c r="B28" s="358" t="s">
        <v>317</v>
      </c>
      <c r="C28" s="358"/>
      <c r="D28" s="30"/>
      <c r="E28" s="28" t="s">
        <v>941</v>
      </c>
      <c r="F28" s="84" t="s">
        <v>1369</v>
      </c>
      <c r="G28" s="84"/>
      <c r="H28" s="81"/>
      <c r="I28" s="82"/>
    </row>
    <row r="29" spans="2:10" ht="34">
      <c r="B29" s="358" t="s">
        <v>318</v>
      </c>
      <c r="C29" s="358"/>
      <c r="D29" s="181" t="s">
        <v>1562</v>
      </c>
      <c r="E29" s="28" t="s">
        <v>795</v>
      </c>
      <c r="F29" s="28" t="s">
        <v>1347</v>
      </c>
      <c r="G29" s="84"/>
      <c r="H29" s="81"/>
      <c r="I29" s="82"/>
    </row>
    <row r="30" spans="2:10" ht="68">
      <c r="B30" s="358" t="s">
        <v>321</v>
      </c>
      <c r="C30" s="358"/>
      <c r="D30" s="29"/>
      <c r="E30" s="28" t="s">
        <v>1370</v>
      </c>
      <c r="F30" s="28" t="s">
        <v>1371</v>
      </c>
      <c r="G30" s="28"/>
      <c r="H30" s="81"/>
      <c r="I30" s="82"/>
    </row>
    <row r="31" spans="2:10" ht="68">
      <c r="B31" s="358" t="s">
        <v>324</v>
      </c>
      <c r="C31" s="358"/>
      <c r="D31" s="29"/>
      <c r="E31" s="28" t="s">
        <v>1370</v>
      </c>
      <c r="F31" s="28" t="s">
        <v>1372</v>
      </c>
      <c r="G31" s="28" t="s">
        <v>677</v>
      </c>
      <c r="H31" s="81"/>
      <c r="I31" s="82"/>
    </row>
    <row r="32" spans="2:10" ht="34">
      <c r="B32" s="358" t="s">
        <v>326</v>
      </c>
      <c r="C32" s="358"/>
      <c r="D32" s="29"/>
      <c r="E32" s="27" t="s">
        <v>798</v>
      </c>
      <c r="F32" s="28" t="s">
        <v>799</v>
      </c>
      <c r="G32" s="28"/>
      <c r="H32" s="81"/>
      <c r="I32" s="82"/>
    </row>
    <row r="33" spans="2:9" ht="34">
      <c r="B33" s="358" t="s">
        <v>327</v>
      </c>
      <c r="C33" s="358"/>
      <c r="D33" s="29"/>
      <c r="E33" s="30"/>
      <c r="F33" s="28" t="s">
        <v>1373</v>
      </c>
      <c r="G33" s="28"/>
      <c r="H33" s="81"/>
      <c r="I33" s="82"/>
    </row>
    <row r="34" spans="2:9" ht="85">
      <c r="B34" s="358" t="s">
        <v>330</v>
      </c>
      <c r="C34" s="358"/>
      <c r="D34" s="78"/>
      <c r="E34" s="30" t="s">
        <v>1374</v>
      </c>
      <c r="F34" s="172" t="s">
        <v>1375</v>
      </c>
      <c r="G34" s="28" t="s">
        <v>1376</v>
      </c>
      <c r="H34" s="81"/>
      <c r="I34" s="82"/>
    </row>
    <row r="35" spans="2:9" ht="51">
      <c r="B35" s="358" t="s">
        <v>334</v>
      </c>
      <c r="C35" s="358"/>
      <c r="D35" s="29"/>
      <c r="E35" s="30" t="s">
        <v>1377</v>
      </c>
      <c r="F35" s="28" t="s">
        <v>1378</v>
      </c>
      <c r="G35" s="28" t="s">
        <v>1379</v>
      </c>
      <c r="H35" s="81"/>
      <c r="I35" s="82"/>
    </row>
    <row r="36" spans="2:9" ht="34">
      <c r="B36" s="358" t="s">
        <v>335</v>
      </c>
      <c r="C36" s="358"/>
      <c r="D36" s="29"/>
      <c r="E36" s="28" t="s">
        <v>750</v>
      </c>
      <c r="F36" s="28" t="s">
        <v>1380</v>
      </c>
      <c r="G36" s="28"/>
      <c r="H36" s="81"/>
      <c r="I36" s="82"/>
    </row>
    <row r="37" spans="2:9" ht="18">
      <c r="B37" s="358" t="s">
        <v>336</v>
      </c>
      <c r="C37" s="358"/>
      <c r="D37" s="30"/>
      <c r="E37" s="84" t="s">
        <v>1381</v>
      </c>
      <c r="F37" s="28" t="s">
        <v>1382</v>
      </c>
      <c r="G37" s="28" t="s">
        <v>1383</v>
      </c>
      <c r="H37" s="81"/>
      <c r="I37" s="82"/>
    </row>
    <row r="38" spans="2:9" ht="51">
      <c r="B38" s="358" t="s">
        <v>339</v>
      </c>
      <c r="C38" s="358"/>
      <c r="D38" s="83" t="s">
        <v>1384</v>
      </c>
      <c r="E38" s="84" t="s">
        <v>1385</v>
      </c>
      <c r="F38" s="28" t="s">
        <v>1386</v>
      </c>
      <c r="G38" s="28" t="s">
        <v>1387</v>
      </c>
      <c r="H38" s="81"/>
      <c r="I38" s="82"/>
    </row>
    <row r="39" spans="2:9" ht="34">
      <c r="B39" s="358" t="s">
        <v>342</v>
      </c>
      <c r="C39" s="358"/>
      <c r="D39" s="83" t="s">
        <v>1388</v>
      </c>
      <c r="E39" s="84" t="s">
        <v>1389</v>
      </c>
      <c r="F39" s="28" t="s">
        <v>1546</v>
      </c>
      <c r="G39" s="84"/>
      <c r="H39" s="81"/>
      <c r="I39" s="82"/>
    </row>
    <row r="40" spans="2:9" ht="51">
      <c r="B40" s="358" t="s">
        <v>344</v>
      </c>
      <c r="C40" s="358"/>
      <c r="D40" s="27" t="s">
        <v>1391</v>
      </c>
      <c r="E40" s="27" t="s">
        <v>1392</v>
      </c>
      <c r="F40" s="28" t="s">
        <v>1393</v>
      </c>
      <c r="G40" s="84"/>
      <c r="H40" s="81"/>
      <c r="I40" s="82"/>
    </row>
    <row r="41" spans="2:9" ht="34">
      <c r="B41" s="358" t="s">
        <v>345</v>
      </c>
      <c r="C41" s="358"/>
      <c r="D41" s="29"/>
      <c r="E41" s="30"/>
      <c r="F41" s="28" t="s">
        <v>1394</v>
      </c>
      <c r="G41" s="84"/>
      <c r="H41" s="81"/>
      <c r="I41" s="82"/>
    </row>
    <row r="42" spans="2:9" ht="51">
      <c r="B42" s="358" t="s">
        <v>347</v>
      </c>
      <c r="C42" s="358"/>
      <c r="D42" s="29"/>
      <c r="E42" s="30" t="s">
        <v>1395</v>
      </c>
      <c r="F42" s="28" t="s">
        <v>1396</v>
      </c>
      <c r="G42" s="84"/>
      <c r="H42" s="81"/>
      <c r="I42" s="82"/>
    </row>
    <row r="43" spans="2:9" ht="68">
      <c r="B43" s="358" t="s">
        <v>349</v>
      </c>
      <c r="C43" s="358"/>
      <c r="D43" s="29"/>
      <c r="E43" s="27" t="s">
        <v>1397</v>
      </c>
      <c r="F43" s="28" t="s">
        <v>1398</v>
      </c>
      <c r="G43" s="84"/>
      <c r="H43" s="81"/>
      <c r="I43" s="82"/>
    </row>
    <row r="44" spans="2:9" ht="51">
      <c r="B44" s="358" t="s">
        <v>351</v>
      </c>
      <c r="C44" s="358"/>
      <c r="D44" s="29"/>
      <c r="E44" s="29"/>
      <c r="F44" s="28" t="s">
        <v>1399</v>
      </c>
      <c r="G44" s="84"/>
      <c r="H44" s="81"/>
      <c r="I44" s="82"/>
    </row>
    <row r="45" spans="2:9" ht="51">
      <c r="B45" s="358" t="s">
        <v>354</v>
      </c>
      <c r="C45" s="358"/>
      <c r="D45" s="29"/>
      <c r="E45" s="30"/>
      <c r="F45" s="28" t="s">
        <v>1400</v>
      </c>
      <c r="G45" s="84"/>
      <c r="H45" s="81"/>
      <c r="I45" s="82"/>
    </row>
    <row r="46" spans="2:9" ht="68">
      <c r="B46" s="358" t="s">
        <v>356</v>
      </c>
      <c r="C46" s="358"/>
      <c r="D46" s="29"/>
      <c r="E46" s="28" t="s">
        <v>1401</v>
      </c>
      <c r="F46" s="28" t="s">
        <v>1402</v>
      </c>
      <c r="G46" s="84"/>
      <c r="H46" s="81"/>
      <c r="I46" s="82"/>
    </row>
    <row r="47" spans="2:9" ht="68">
      <c r="B47" s="358" t="s">
        <v>359</v>
      </c>
      <c r="C47" s="358"/>
      <c r="D47" s="30"/>
      <c r="E47" s="28" t="s">
        <v>1403</v>
      </c>
      <c r="F47" s="28" t="s">
        <v>1404</v>
      </c>
      <c r="G47" s="84" t="s">
        <v>1405</v>
      </c>
      <c r="H47" s="81"/>
      <c r="I47" s="82"/>
    </row>
    <row r="48" spans="2:9" ht="34">
      <c r="B48" s="358" t="s">
        <v>362</v>
      </c>
      <c r="C48" s="358"/>
      <c r="D48" s="27" t="s">
        <v>781</v>
      </c>
      <c r="E48" s="28" t="s">
        <v>496</v>
      </c>
      <c r="F48" s="28" t="s">
        <v>845</v>
      </c>
      <c r="G48" s="84"/>
      <c r="H48" s="81"/>
      <c r="I48" s="82"/>
    </row>
    <row r="49" spans="2:9" ht="18">
      <c r="B49" s="358" t="s">
        <v>365</v>
      </c>
      <c r="C49" s="358"/>
      <c r="D49" s="29"/>
      <c r="E49" s="27" t="s">
        <v>1544</v>
      </c>
      <c r="F49" s="28" t="s">
        <v>1543</v>
      </c>
      <c r="G49" s="84"/>
      <c r="H49" s="81"/>
      <c r="I49" s="82"/>
    </row>
    <row r="50" spans="2:9" ht="51">
      <c r="B50" s="358" t="s">
        <v>24</v>
      </c>
      <c r="C50" s="358"/>
      <c r="D50" s="29"/>
      <c r="E50" s="30" t="s">
        <v>1406</v>
      </c>
      <c r="F50" s="28" t="s">
        <v>1545</v>
      </c>
      <c r="G50" s="84" t="s">
        <v>522</v>
      </c>
      <c r="H50" s="81"/>
      <c r="I50" s="82"/>
    </row>
  </sheetData>
  <mergeCells count="46">
    <mergeCell ref="B2:C2"/>
    <mergeCell ref="B3:C3"/>
    <mergeCell ref="B4:C4"/>
    <mergeCell ref="B5:C5"/>
    <mergeCell ref="B6:C6"/>
    <mergeCell ref="B14:C14"/>
    <mergeCell ref="B15:C15"/>
    <mergeCell ref="B16:C16"/>
    <mergeCell ref="B17:C17"/>
    <mergeCell ref="B18:C18"/>
    <mergeCell ref="B8:C8"/>
    <mergeCell ref="B10:C10"/>
    <mergeCell ref="B11:C11"/>
    <mergeCell ref="B12:C12"/>
    <mergeCell ref="B13:C13"/>
    <mergeCell ref="B24:C24"/>
    <mergeCell ref="B25:C25"/>
    <mergeCell ref="B27:C27"/>
    <mergeCell ref="B28:C28"/>
    <mergeCell ref="B29:C29"/>
    <mergeCell ref="B19:C19"/>
    <mergeCell ref="B20:C20"/>
    <mergeCell ref="B21:C21"/>
    <mergeCell ref="B22:C22"/>
    <mergeCell ref="B23:C23"/>
    <mergeCell ref="B34:C34"/>
    <mergeCell ref="B30:C30"/>
    <mergeCell ref="B32:C32"/>
    <mergeCell ref="B31:C31"/>
    <mergeCell ref="B33:C33"/>
    <mergeCell ref="B35:C35"/>
    <mergeCell ref="B40:C40"/>
    <mergeCell ref="B41:C41"/>
    <mergeCell ref="B42:C42"/>
    <mergeCell ref="B43:C43"/>
    <mergeCell ref="B44:C44"/>
    <mergeCell ref="B36:C36"/>
    <mergeCell ref="B38:C38"/>
    <mergeCell ref="B39:C39"/>
    <mergeCell ref="B37:C37"/>
    <mergeCell ref="B45:C45"/>
    <mergeCell ref="B50:C50"/>
    <mergeCell ref="B46:C46"/>
    <mergeCell ref="B47:C47"/>
    <mergeCell ref="B48:C48"/>
    <mergeCell ref="B49:C49"/>
  </mergeCells>
  <phoneticPr fontId="46"/>
  <dataValidations count="1">
    <dataValidation type="list" allowBlank="1" showInputMessage="1" showErrorMessage="1" sqref="H10:H25 H27:H50" xr:uid="{241EC2E1-F755-7742-AD9B-896F743B46F4}">
      <formula1>$J$10:$J$12</formula1>
    </dataValidation>
  </dataValidations>
  <pageMargins left="0.31496062992125984" right="0.31496062992125984" top="0.55118110236220474" bottom="0.55118110236220474" header="0.31496062992125984" footer="0.31496062992125984"/>
  <pageSetup paperSize="9" scale="37" fitToHeight="0" orientation="portrait"/>
  <headerFooter>
    <oddHeader>&amp;C&amp;A</oddHeader>
    <oddFooter>&amp;C&amp;P/&amp;N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AB3E3-B05F-7345-ADFA-6DF91B4BDFAD}">
  <sheetPr>
    <pageSetUpPr fitToPage="1"/>
  </sheetPr>
  <dimension ref="B1:K31"/>
  <sheetViews>
    <sheetView showGridLines="0" view="pageBreakPreview" zoomScale="85" zoomScaleNormal="70" zoomScaleSheetLayoutView="85" workbookViewId="0">
      <pane xSplit="1" ySplit="8" topLeftCell="B9" activePane="bottomRight" state="frozen"/>
      <selection pane="topRight" activeCell="B6" sqref="B6:C6"/>
      <selection pane="bottomLeft" activeCell="B6" sqref="B6:C6"/>
      <selection pane="bottomRight" activeCell="B2" sqref="B2:C2"/>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7" style="87" customWidth="1"/>
    <col min="7" max="7" width="50.6640625" style="87" customWidth="1"/>
    <col min="8" max="8" width="5.6640625" style="88" customWidth="1"/>
    <col min="9" max="9" width="50.6640625" style="87" customWidth="1"/>
    <col min="10" max="10" width="4" style="87" bestFit="1" customWidth="1"/>
    <col min="11" max="16384" width="3.6640625" style="87"/>
  </cols>
  <sheetData>
    <row r="1" spans="2:11" ht="4.5" customHeight="1"/>
    <row r="2" spans="2:11" ht="15" customHeight="1">
      <c r="B2" s="350"/>
      <c r="C2" s="351"/>
      <c r="D2" s="89"/>
      <c r="E2" s="89" t="s">
        <v>278</v>
      </c>
      <c r="F2" s="89" t="s">
        <v>279</v>
      </c>
      <c r="G2" s="90" t="s">
        <v>280</v>
      </c>
      <c r="H2" s="91"/>
      <c r="I2" s="92"/>
    </row>
    <row r="3" spans="2:11" ht="25" customHeight="1">
      <c r="B3" s="352" t="s">
        <v>281</v>
      </c>
      <c r="C3" s="353"/>
      <c r="D3" s="93" t="s">
        <v>282</v>
      </c>
      <c r="E3" s="94"/>
      <c r="F3" s="94"/>
      <c r="G3" s="95"/>
      <c r="H3" s="91"/>
      <c r="I3" s="92"/>
    </row>
    <row r="4" spans="2:11" ht="25" customHeight="1">
      <c r="B4" s="354"/>
      <c r="C4" s="355"/>
      <c r="D4" s="94" t="s">
        <v>283</v>
      </c>
      <c r="E4" s="94"/>
      <c r="F4" s="94"/>
      <c r="G4" s="95"/>
      <c r="H4" s="91"/>
      <c r="I4" s="92"/>
    </row>
    <row r="5" spans="2:11" ht="25" customHeight="1">
      <c r="B5" s="352" t="s">
        <v>284</v>
      </c>
      <c r="C5" s="353"/>
      <c r="D5" s="94" t="s">
        <v>285</v>
      </c>
      <c r="E5" s="94"/>
      <c r="F5" s="95"/>
      <c r="G5" s="96"/>
      <c r="H5" s="91"/>
      <c r="I5" s="92"/>
    </row>
    <row r="6" spans="2:11" ht="25" customHeight="1">
      <c r="B6" s="354"/>
      <c r="C6" s="355"/>
      <c r="D6" s="94" t="s">
        <v>286</v>
      </c>
      <c r="E6" s="94"/>
      <c r="F6" s="95"/>
      <c r="G6" s="96"/>
      <c r="H6" s="91"/>
      <c r="I6" s="92"/>
    </row>
    <row r="7" spans="2:11" ht="16.5" customHeight="1">
      <c r="I7" s="87" t="s">
        <v>1537</v>
      </c>
      <c r="J7" s="87">
        <f>COUNTIF(J10:J31,I7)</f>
        <v>10</v>
      </c>
    </row>
    <row r="8" spans="2:11" ht="36" customHeight="1" thickBot="1">
      <c r="B8" s="356" t="s">
        <v>293</v>
      </c>
      <c r="C8" s="357"/>
      <c r="D8" s="332" t="s">
        <v>294</v>
      </c>
      <c r="E8" s="332" t="s">
        <v>295</v>
      </c>
      <c r="F8" s="332" t="s">
        <v>296</v>
      </c>
      <c r="G8" s="332" t="s">
        <v>297</v>
      </c>
      <c r="H8" s="97" t="s">
        <v>299</v>
      </c>
      <c r="I8" s="98" t="s">
        <v>300</v>
      </c>
    </row>
    <row r="9" spans="2:11" ht="20.25" customHeight="1" thickTop="1">
      <c r="B9" s="99">
        <v>1</v>
      </c>
      <c r="C9" s="107" t="s">
        <v>1333</v>
      </c>
      <c r="D9" s="101"/>
      <c r="E9" s="102"/>
      <c r="F9" s="102"/>
      <c r="G9" s="102"/>
      <c r="H9" s="103"/>
      <c r="I9" s="104"/>
    </row>
    <row r="10" spans="2:11" ht="51.75" customHeight="1">
      <c r="B10" s="345" t="s">
        <v>302</v>
      </c>
      <c r="C10" s="346"/>
      <c r="D10" s="27" t="s">
        <v>1407</v>
      </c>
      <c r="E10" s="28" t="s">
        <v>1367</v>
      </c>
      <c r="F10" s="84" t="s">
        <v>1408</v>
      </c>
      <c r="G10" s="84"/>
      <c r="H10" s="81"/>
      <c r="I10" s="82"/>
      <c r="J10" s="87" t="s">
        <v>1537</v>
      </c>
    </row>
    <row r="11" spans="2:11" ht="34">
      <c r="B11" s="345" t="s">
        <v>306</v>
      </c>
      <c r="C11" s="346"/>
      <c r="D11" s="27" t="s">
        <v>786</v>
      </c>
      <c r="E11" s="28" t="s">
        <v>747</v>
      </c>
      <c r="F11" s="84" t="s">
        <v>1340</v>
      </c>
      <c r="G11" s="84"/>
      <c r="H11" s="81"/>
      <c r="I11" s="82"/>
      <c r="J11" s="87" t="s">
        <v>1537</v>
      </c>
      <c r="K11" s="87" t="s">
        <v>310</v>
      </c>
    </row>
    <row r="12" spans="2:11" ht="34">
      <c r="B12" s="345" t="s">
        <v>706</v>
      </c>
      <c r="C12" s="346"/>
      <c r="D12" s="30"/>
      <c r="E12" s="28" t="s">
        <v>941</v>
      </c>
      <c r="F12" s="84" t="s">
        <v>1369</v>
      </c>
      <c r="G12" s="84"/>
      <c r="H12" s="81"/>
      <c r="I12" s="82"/>
      <c r="J12" s="87" t="s">
        <v>1537</v>
      </c>
      <c r="K12" s="87" t="s">
        <v>312</v>
      </c>
    </row>
    <row r="13" spans="2:11" ht="34">
      <c r="B13" s="345" t="s">
        <v>708</v>
      </c>
      <c r="C13" s="346"/>
      <c r="D13" s="182" t="s">
        <v>378</v>
      </c>
      <c r="E13" s="28" t="s">
        <v>747</v>
      </c>
      <c r="F13" s="84" t="s">
        <v>1340</v>
      </c>
      <c r="G13" s="84"/>
      <c r="H13" s="81"/>
      <c r="I13" s="82"/>
      <c r="J13" s="87" t="s">
        <v>1537</v>
      </c>
      <c r="K13" s="87" t="s">
        <v>316</v>
      </c>
    </row>
    <row r="14" spans="2:11" ht="34">
      <c r="B14" s="345" t="s">
        <v>711</v>
      </c>
      <c r="C14" s="346"/>
      <c r="D14" s="180" t="s">
        <v>784</v>
      </c>
      <c r="E14" s="28" t="s">
        <v>747</v>
      </c>
      <c r="F14" s="84" t="s">
        <v>1340</v>
      </c>
      <c r="G14" s="84"/>
      <c r="H14" s="81"/>
      <c r="I14" s="82"/>
      <c r="J14" s="87" t="s">
        <v>1537</v>
      </c>
    </row>
    <row r="15" spans="2:11" ht="34">
      <c r="B15" s="345" t="s">
        <v>1293</v>
      </c>
      <c r="C15" s="346"/>
      <c r="D15" s="181"/>
      <c r="E15" s="28" t="s">
        <v>795</v>
      </c>
      <c r="F15" s="28" t="s">
        <v>1347</v>
      </c>
      <c r="G15" s="84"/>
      <c r="H15" s="81"/>
      <c r="I15" s="82"/>
      <c r="J15" s="87" t="s">
        <v>1537</v>
      </c>
    </row>
    <row r="16" spans="2:11" ht="68">
      <c r="B16" s="345" t="s">
        <v>1296</v>
      </c>
      <c r="C16" s="346"/>
      <c r="D16" s="29"/>
      <c r="E16" s="28" t="s">
        <v>1370</v>
      </c>
      <c r="F16" s="28" t="s">
        <v>1371</v>
      </c>
      <c r="G16" s="28"/>
      <c r="H16" s="81"/>
      <c r="I16" s="82"/>
      <c r="J16" s="87" t="s">
        <v>1537</v>
      </c>
    </row>
    <row r="17" spans="2:11" ht="34">
      <c r="B17" s="345" t="s">
        <v>1300</v>
      </c>
      <c r="C17" s="346"/>
      <c r="D17" s="29"/>
      <c r="E17" s="27" t="s">
        <v>798</v>
      </c>
      <c r="F17" s="28" t="s">
        <v>799</v>
      </c>
      <c r="G17" s="28"/>
      <c r="H17" s="81"/>
      <c r="I17" s="82"/>
      <c r="J17" s="87" t="s">
        <v>1537</v>
      </c>
    </row>
    <row r="18" spans="2:11" ht="34">
      <c r="B18" s="345" t="s">
        <v>1303</v>
      </c>
      <c r="C18" s="346"/>
      <c r="D18" s="29"/>
      <c r="E18" s="30"/>
      <c r="F18" s="28" t="s">
        <v>1373</v>
      </c>
      <c r="G18" s="28"/>
      <c r="H18" s="81"/>
      <c r="I18" s="82"/>
      <c r="J18" s="87" t="s">
        <v>1537</v>
      </c>
    </row>
    <row r="19" spans="2:11" ht="68">
      <c r="B19" s="345" t="s">
        <v>1306</v>
      </c>
      <c r="C19" s="346"/>
      <c r="D19" s="29"/>
      <c r="E19" s="28" t="s">
        <v>1377</v>
      </c>
      <c r="F19" s="28" t="s">
        <v>1591</v>
      </c>
      <c r="G19" s="28" t="s">
        <v>1379</v>
      </c>
      <c r="H19" s="81"/>
      <c r="I19" s="82"/>
      <c r="J19" s="87" t="s">
        <v>1537</v>
      </c>
    </row>
    <row r="20" spans="2:11" ht="34">
      <c r="B20" s="345" t="s">
        <v>1309</v>
      </c>
      <c r="C20" s="346"/>
      <c r="D20" s="30"/>
      <c r="E20" s="28" t="s">
        <v>750</v>
      </c>
      <c r="F20" s="28" t="s">
        <v>1380</v>
      </c>
      <c r="G20" s="28"/>
      <c r="H20" s="81"/>
      <c r="I20" s="82"/>
      <c r="J20" s="87" t="s">
        <v>1538</v>
      </c>
    </row>
    <row r="21" spans="2:11" ht="51">
      <c r="B21" s="345" t="s">
        <v>1312</v>
      </c>
      <c r="C21" s="346"/>
      <c r="D21" s="83" t="s">
        <v>1384</v>
      </c>
      <c r="E21" s="84" t="s">
        <v>1385</v>
      </c>
      <c r="F21" s="28" t="s">
        <v>1386</v>
      </c>
      <c r="G21" s="28" t="s">
        <v>1387</v>
      </c>
      <c r="H21" s="81"/>
      <c r="I21" s="82"/>
      <c r="J21" s="87" t="s">
        <v>1538</v>
      </c>
    </row>
    <row r="22" spans="2:11" ht="68">
      <c r="B22" s="345" t="s">
        <v>1315</v>
      </c>
      <c r="C22" s="346"/>
      <c r="D22" s="83"/>
      <c r="E22" s="84" t="s">
        <v>1409</v>
      </c>
      <c r="F22" s="28" t="s">
        <v>1410</v>
      </c>
      <c r="G22" s="28"/>
      <c r="H22" s="81"/>
      <c r="I22" s="82"/>
      <c r="J22" s="87" t="s">
        <v>1538</v>
      </c>
    </row>
    <row r="23" spans="2:11" ht="34">
      <c r="B23" s="345" t="s">
        <v>1319</v>
      </c>
      <c r="C23" s="346"/>
      <c r="D23" s="83" t="s">
        <v>1388</v>
      </c>
      <c r="E23" s="84" t="s">
        <v>1389</v>
      </c>
      <c r="F23" s="28" t="s">
        <v>1390</v>
      </c>
      <c r="G23" s="28"/>
      <c r="H23" s="81"/>
      <c r="I23" s="82"/>
      <c r="J23" s="87" t="s">
        <v>1538</v>
      </c>
    </row>
    <row r="24" spans="2:11" ht="51">
      <c r="B24" s="345" t="s">
        <v>1322</v>
      </c>
      <c r="C24" s="346"/>
      <c r="D24" s="27" t="s">
        <v>1391</v>
      </c>
      <c r="E24" s="27" t="s">
        <v>1392</v>
      </c>
      <c r="F24" s="28" t="s">
        <v>1393</v>
      </c>
      <c r="G24" s="28"/>
      <c r="H24" s="81"/>
      <c r="I24" s="82"/>
      <c r="J24" s="87" t="s">
        <v>1538</v>
      </c>
    </row>
    <row r="25" spans="2:11" ht="34">
      <c r="B25" s="345" t="s">
        <v>1325</v>
      </c>
      <c r="C25" s="346"/>
      <c r="D25" s="29"/>
      <c r="E25" s="30"/>
      <c r="F25" s="28" t="s">
        <v>1394</v>
      </c>
      <c r="G25" s="28"/>
      <c r="H25" s="81"/>
      <c r="I25" s="82"/>
      <c r="J25" s="87" t="s">
        <v>1538</v>
      </c>
    </row>
    <row r="26" spans="2:11" ht="34">
      <c r="B26" s="345" t="s">
        <v>1329</v>
      </c>
      <c r="C26" s="346"/>
      <c r="D26" s="29"/>
      <c r="E26" s="30" t="s">
        <v>1395</v>
      </c>
      <c r="F26" s="28" t="s">
        <v>1396</v>
      </c>
      <c r="G26" s="28"/>
      <c r="H26" s="81"/>
      <c r="I26" s="82"/>
      <c r="J26" s="87" t="s">
        <v>1538</v>
      </c>
    </row>
    <row r="27" spans="2:11" ht="51">
      <c r="B27" s="345" t="s">
        <v>1411</v>
      </c>
      <c r="C27" s="346"/>
      <c r="D27" s="29"/>
      <c r="E27" s="29"/>
      <c r="F27" s="28" t="s">
        <v>1399</v>
      </c>
      <c r="G27" s="28"/>
      <c r="H27" s="81"/>
      <c r="I27" s="82"/>
      <c r="J27" s="87" t="s">
        <v>1539</v>
      </c>
      <c r="K27" s="87" t="s">
        <v>316</v>
      </c>
    </row>
    <row r="28" spans="2:11" ht="51">
      <c r="B28" s="345" t="s">
        <v>1412</v>
      </c>
      <c r="C28" s="346"/>
      <c r="D28" s="29"/>
      <c r="E28" s="30"/>
      <c r="F28" s="28" t="s">
        <v>1400</v>
      </c>
      <c r="G28" s="28"/>
      <c r="H28" s="81"/>
      <c r="I28" s="82"/>
      <c r="J28" s="87" t="s">
        <v>1539</v>
      </c>
    </row>
    <row r="29" spans="2:11" ht="68">
      <c r="B29" s="345" t="s">
        <v>1413</v>
      </c>
      <c r="C29" s="346"/>
      <c r="D29" s="29"/>
      <c r="E29" s="28" t="s">
        <v>1401</v>
      </c>
      <c r="F29" s="28" t="s">
        <v>1402</v>
      </c>
      <c r="G29" s="28"/>
      <c r="H29" s="81"/>
      <c r="I29" s="82"/>
      <c r="J29" s="87" t="s">
        <v>1539</v>
      </c>
    </row>
    <row r="30" spans="2:11" ht="68">
      <c r="B30" s="345" t="s">
        <v>1414</v>
      </c>
      <c r="C30" s="346"/>
      <c r="D30" s="30"/>
      <c r="E30" s="28" t="s">
        <v>1403</v>
      </c>
      <c r="F30" s="28" t="s">
        <v>1592</v>
      </c>
      <c r="G30" s="28" t="s">
        <v>1405</v>
      </c>
      <c r="H30" s="81"/>
      <c r="I30" s="82"/>
      <c r="J30" s="87" t="s">
        <v>1539</v>
      </c>
    </row>
    <row r="31" spans="2:11" ht="34">
      <c r="B31" s="345" t="s">
        <v>1415</v>
      </c>
      <c r="C31" s="346"/>
      <c r="D31" s="27" t="s">
        <v>781</v>
      </c>
      <c r="E31" s="28" t="s">
        <v>496</v>
      </c>
      <c r="F31" s="28" t="s">
        <v>845</v>
      </c>
      <c r="G31" s="28"/>
      <c r="H31" s="81"/>
      <c r="I31" s="82"/>
      <c r="J31" s="87" t="s">
        <v>1539</v>
      </c>
    </row>
  </sheetData>
  <mergeCells count="28">
    <mergeCell ref="B14:C14"/>
    <mergeCell ref="B18:C18"/>
    <mergeCell ref="B2:C2"/>
    <mergeCell ref="B3:C3"/>
    <mergeCell ref="B4:C4"/>
    <mergeCell ref="B5:C5"/>
    <mergeCell ref="B6:C6"/>
    <mergeCell ref="B8:C8"/>
    <mergeCell ref="B25:C25"/>
    <mergeCell ref="B10:C10"/>
    <mergeCell ref="B22:C22"/>
    <mergeCell ref="B11:C11"/>
    <mergeCell ref="B12:C12"/>
    <mergeCell ref="B13:C13"/>
    <mergeCell ref="B16:C16"/>
    <mergeCell ref="B17:C17"/>
    <mergeCell ref="B15:C15"/>
    <mergeCell ref="B19:C19"/>
    <mergeCell ref="B20:C20"/>
    <mergeCell ref="B21:C21"/>
    <mergeCell ref="B30:C30"/>
    <mergeCell ref="B31:C31"/>
    <mergeCell ref="B26:C26"/>
    <mergeCell ref="B27:C27"/>
    <mergeCell ref="B24:C24"/>
    <mergeCell ref="B28:C28"/>
    <mergeCell ref="B29:C29"/>
    <mergeCell ref="B23:C23"/>
  </mergeCells>
  <phoneticPr fontId="46"/>
  <dataValidations count="1">
    <dataValidation type="list" allowBlank="1" showInputMessage="1" showErrorMessage="1" sqref="H10:H31" xr:uid="{B552643F-B52F-C84B-A48F-9F588871183A}">
      <formula1>$K$10:$K$13</formula1>
    </dataValidation>
  </dataValidations>
  <pageMargins left="0.31496062992125984" right="0.31496062992125984" top="0.55118110236220474" bottom="0.55118110236220474" header="0.31496062992125984" footer="0.31496062992125984"/>
  <pageSetup paperSize="9" scale="50" fitToHeight="0" orientation="landscape"/>
  <headerFooter>
    <oddHeader>&amp;C&amp;A</oddHead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42C2-F77C-AC48-B22C-4F10C4A8A5AF}">
  <sheetPr codeName="Sheet8">
    <pageSetUpPr fitToPage="1"/>
  </sheetPr>
  <dimension ref="B1:K13"/>
  <sheetViews>
    <sheetView showGridLines="0" view="pageBreakPreview" zoomScale="85" zoomScaleNormal="70" zoomScaleSheetLayoutView="85" workbookViewId="0">
      <pane xSplit="1" ySplit="7" topLeftCell="B8" activePane="bottomRight" state="frozen"/>
      <selection pane="topRight" activeCell="F20" sqref="F20"/>
      <selection pane="bottomLeft" activeCell="F20" sqref="F20"/>
      <selection pane="bottomRight" activeCell="G11" sqref="G11"/>
    </sheetView>
  </sheetViews>
  <sheetFormatPr baseColWidth="10" defaultColWidth="3.6640625" defaultRowHeight="16"/>
  <cols>
    <col min="1" max="1" width="1.5" style="1" customWidth="1"/>
    <col min="2" max="2" width="2.6640625" style="1" customWidth="1"/>
    <col min="3" max="3" width="6.1640625" style="1" customWidth="1"/>
    <col min="4" max="4" width="17.6640625" style="1" bestFit="1" customWidth="1"/>
    <col min="5" max="5" width="19.5" style="1" bestFit="1" customWidth="1"/>
    <col min="6" max="6" width="95.6640625" style="1" bestFit="1" customWidth="1"/>
    <col min="7" max="7" width="50.6640625" style="1" customWidth="1"/>
    <col min="8" max="8" width="5.6640625" style="3" customWidth="1"/>
    <col min="9" max="9" width="50.6640625" style="1" customWidth="1"/>
    <col min="10" max="16384" width="3.6640625" style="1"/>
  </cols>
  <sheetData>
    <row r="1" spans="2:11" ht="4.5" customHeight="1"/>
    <row r="2" spans="2:11" ht="15" customHeight="1">
      <c r="B2" s="367"/>
      <c r="C2" s="368"/>
      <c r="D2" s="20" t="s">
        <v>278</v>
      </c>
      <c r="E2" s="20" t="s">
        <v>279</v>
      </c>
      <c r="F2" s="20" t="s">
        <v>1416</v>
      </c>
      <c r="G2" s="21" t="s">
        <v>1417</v>
      </c>
      <c r="H2" s="16"/>
      <c r="I2" s="17"/>
    </row>
    <row r="3" spans="2:11" ht="25" customHeight="1">
      <c r="B3" s="513" t="s">
        <v>282</v>
      </c>
      <c r="C3" s="514"/>
      <c r="D3" s="19"/>
      <c r="E3" s="18"/>
      <c r="F3" s="18"/>
      <c r="G3" s="22"/>
      <c r="H3" s="16"/>
      <c r="I3" s="17"/>
    </row>
    <row r="4" spans="2:11" ht="25" customHeight="1">
      <c r="B4" s="513" t="s">
        <v>283</v>
      </c>
      <c r="C4" s="514"/>
      <c r="D4" s="18"/>
      <c r="E4" s="18"/>
      <c r="F4" s="14"/>
      <c r="G4" s="15"/>
      <c r="H4" s="16"/>
      <c r="I4" s="17"/>
    </row>
    <row r="5" spans="2:11" ht="25" customHeight="1">
      <c r="B5" s="513" t="s">
        <v>1418</v>
      </c>
      <c r="C5" s="514"/>
      <c r="D5" s="18"/>
      <c r="E5" s="18"/>
      <c r="F5" s="14"/>
      <c r="G5" s="15"/>
      <c r="H5" s="16"/>
      <c r="I5" s="17"/>
    </row>
    <row r="6" spans="2:11" ht="16.5" customHeight="1"/>
    <row r="7" spans="2:11" ht="36" customHeight="1" thickBot="1">
      <c r="B7" s="373" t="s">
        <v>293</v>
      </c>
      <c r="C7" s="374"/>
      <c r="D7" s="71" t="s">
        <v>294</v>
      </c>
      <c r="E7" s="71" t="s">
        <v>295</v>
      </c>
      <c r="F7" s="71" t="s">
        <v>296</v>
      </c>
      <c r="G7" s="71" t="s">
        <v>297</v>
      </c>
      <c r="H7" s="12" t="s">
        <v>299</v>
      </c>
      <c r="I7" s="13" t="s">
        <v>1419</v>
      </c>
    </row>
    <row r="8" spans="2:11" ht="20.25" customHeight="1" thickTop="1">
      <c r="B8" s="10">
        <v>1</v>
      </c>
      <c r="C8" s="11"/>
      <c r="D8" s="7"/>
      <c r="E8" s="6"/>
      <c r="F8" s="6"/>
      <c r="G8" s="6"/>
      <c r="H8" s="8"/>
      <c r="I8" s="9"/>
    </row>
    <row r="9" spans="2:11" ht="34">
      <c r="B9" s="511" t="s">
        <v>302</v>
      </c>
      <c r="C9" s="512"/>
      <c r="D9" s="23" t="s">
        <v>314</v>
      </c>
      <c r="E9" s="25" t="s">
        <v>1420</v>
      </c>
      <c r="F9" s="2" t="s">
        <v>1421</v>
      </c>
      <c r="G9" s="2"/>
      <c r="H9" s="4"/>
      <c r="I9" s="5" t="s">
        <v>309</v>
      </c>
      <c r="J9" s="1" t="s">
        <v>1541</v>
      </c>
      <c r="K9" s="26"/>
    </row>
    <row r="10" spans="2:11" ht="68">
      <c r="B10" s="511" t="s">
        <v>306</v>
      </c>
      <c r="C10" s="512"/>
      <c r="D10" s="24"/>
      <c r="E10" s="2" t="s">
        <v>1422</v>
      </c>
      <c r="F10" s="2" t="s">
        <v>1423</v>
      </c>
      <c r="G10" s="2"/>
      <c r="H10" s="4"/>
      <c r="I10" s="5" t="s">
        <v>309</v>
      </c>
      <c r="J10" s="1" t="s">
        <v>1541</v>
      </c>
      <c r="K10" s="26" t="s">
        <v>310</v>
      </c>
    </row>
    <row r="11" spans="2:11" ht="102">
      <c r="B11" s="511" t="s">
        <v>706</v>
      </c>
      <c r="C11" s="512"/>
      <c r="D11" s="24"/>
      <c r="E11" s="25" t="s">
        <v>1424</v>
      </c>
      <c r="F11" s="2" t="s">
        <v>1425</v>
      </c>
      <c r="G11" s="2"/>
      <c r="H11" s="4"/>
      <c r="I11" s="5" t="s">
        <v>309</v>
      </c>
      <c r="J11" s="1" t="s">
        <v>1541</v>
      </c>
      <c r="K11" s="26" t="s">
        <v>312</v>
      </c>
    </row>
    <row r="12" spans="2:11" ht="85">
      <c r="B12" s="511" t="s">
        <v>708</v>
      </c>
      <c r="C12" s="512"/>
      <c r="D12" s="23" t="s">
        <v>378</v>
      </c>
      <c r="E12" s="25" t="s">
        <v>1426</v>
      </c>
      <c r="F12" s="2" t="s">
        <v>1427</v>
      </c>
      <c r="G12" s="2"/>
      <c r="H12" s="4"/>
      <c r="I12" s="5" t="s">
        <v>309</v>
      </c>
      <c r="J12" s="1" t="s">
        <v>1541</v>
      </c>
      <c r="K12" s="26" t="s">
        <v>316</v>
      </c>
    </row>
    <row r="13" spans="2:11" ht="51">
      <c r="B13" s="511" t="s">
        <v>1293</v>
      </c>
      <c r="C13" s="512"/>
      <c r="D13" s="23" t="s">
        <v>1428</v>
      </c>
      <c r="E13" s="2" t="s">
        <v>1429</v>
      </c>
      <c r="F13" s="2" t="s">
        <v>1430</v>
      </c>
      <c r="G13" s="2"/>
      <c r="H13" s="4"/>
      <c r="I13" s="5" t="s">
        <v>309</v>
      </c>
      <c r="J13" s="1" t="s">
        <v>1541</v>
      </c>
    </row>
  </sheetData>
  <mergeCells count="10">
    <mergeCell ref="B11:C11"/>
    <mergeCell ref="B12:C12"/>
    <mergeCell ref="B13:C13"/>
    <mergeCell ref="B9:C9"/>
    <mergeCell ref="B2:C2"/>
    <mergeCell ref="B3:C3"/>
    <mergeCell ref="B4:C4"/>
    <mergeCell ref="B5:C5"/>
    <mergeCell ref="B7:C7"/>
    <mergeCell ref="B10:C10"/>
  </mergeCells>
  <phoneticPr fontId="15"/>
  <dataValidations count="1">
    <dataValidation type="list" allowBlank="1" showInputMessage="1" showErrorMessage="1" sqref="H9:H13" xr:uid="{B9A77A68-0CCF-7E48-A17B-108B014B116C}">
      <formula1>$K$9:$K$12</formula1>
    </dataValidation>
  </dataValidations>
  <pageMargins left="0.31496062992125984" right="0.31496062992125984" top="0.55118110236220474" bottom="0.55118110236220474" header="0.31496062992125984" footer="0.31496062992125984"/>
  <pageSetup paperSize="9" scale="36" fitToHeight="0" orientation="portrait"/>
  <headerFooter>
    <oddHeader>&amp;R設定変更・障害対応(B)</oddHeader>
    <oddFooter>&amp;C&amp;P/&amp;N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A480-6138-F74A-9E6E-393607DC7343}">
  <sheetPr codeName="Sheet9">
    <pageSetUpPr fitToPage="1"/>
  </sheetPr>
  <dimension ref="B1:D7"/>
  <sheetViews>
    <sheetView zoomScale="85" zoomScaleNormal="85" workbookViewId="0">
      <selection activeCell="R21" sqref="R21"/>
    </sheetView>
  </sheetViews>
  <sheetFormatPr baseColWidth="10" defaultColWidth="9" defaultRowHeight="16"/>
  <cols>
    <col min="1" max="1" width="3.6640625" style="72" customWidth="1"/>
    <col min="2" max="2" width="13" style="72" bestFit="1" customWidth="1"/>
    <col min="3" max="3" width="33.83203125" style="72" customWidth="1"/>
    <col min="4" max="4" width="38.1640625" style="72" customWidth="1"/>
    <col min="5" max="16384" width="9" style="72"/>
  </cols>
  <sheetData>
    <row r="1" spans="2:4" ht="12" customHeight="1"/>
    <row r="2" spans="2:4">
      <c r="B2" s="73" t="s">
        <v>1431</v>
      </c>
      <c r="C2" s="73" t="s">
        <v>1432</v>
      </c>
      <c r="D2" s="73" t="s">
        <v>1433</v>
      </c>
    </row>
    <row r="3" spans="2:4" ht="255">
      <c r="B3" s="74" t="s">
        <v>1434</v>
      </c>
      <c r="C3" s="75" t="s">
        <v>1435</v>
      </c>
      <c r="D3" s="75" t="s">
        <v>1436</v>
      </c>
    </row>
    <row r="4" spans="2:4" ht="85">
      <c r="B4" s="74" t="s">
        <v>1437</v>
      </c>
      <c r="C4" s="75" t="s">
        <v>1438</v>
      </c>
      <c r="D4" s="75" t="s">
        <v>1439</v>
      </c>
    </row>
    <row r="5" spans="2:4" ht="51">
      <c r="B5" s="74" t="s">
        <v>1440</v>
      </c>
      <c r="C5" s="74" t="s">
        <v>1441</v>
      </c>
      <c r="D5" s="75" t="s">
        <v>1442</v>
      </c>
    </row>
    <row r="6" spans="2:4" ht="51">
      <c r="B6" s="74" t="s">
        <v>1443</v>
      </c>
      <c r="C6" s="74" t="s">
        <v>1441</v>
      </c>
      <c r="D6" s="75" t="s">
        <v>1444</v>
      </c>
    </row>
    <row r="7" spans="2:4">
      <c r="B7" s="72" t="s">
        <v>1445</v>
      </c>
    </row>
  </sheetData>
  <phoneticPr fontId="15"/>
  <pageMargins left="0.7" right="0.7" top="0.75" bottom="0.75" header="0.3" footer="0.3"/>
  <pageSetup paperSize="9" scale="91" fitToHeight="0" orientation="portrait"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B707-C96C-184A-92B3-6F78295B371D}">
  <sheetPr>
    <pageSetUpPr fitToPage="1"/>
  </sheetPr>
  <dimension ref="B1:O49"/>
  <sheetViews>
    <sheetView showGridLines="0" view="pageBreakPreview" zoomScaleNormal="90" zoomScaleSheetLayoutView="100" workbookViewId="0">
      <pane ySplit="9" topLeftCell="A10" activePane="bottomLeft" state="frozen"/>
      <selection pane="bottomLeft" activeCell="J40" sqref="J40:K40"/>
    </sheetView>
  </sheetViews>
  <sheetFormatPr baseColWidth="10" defaultColWidth="9" defaultRowHeight="16"/>
  <cols>
    <col min="1" max="1" width="1.5" style="72" customWidth="1"/>
    <col min="2" max="2" width="5" style="257" customWidth="1"/>
    <col min="3" max="3" width="6.1640625" style="260" customWidth="1"/>
    <col min="4" max="4" width="14.33203125" style="257" customWidth="1"/>
    <col min="5" max="5" width="13.6640625" style="72" customWidth="1"/>
    <col min="6" max="6" width="27.6640625" style="257" customWidth="1"/>
    <col min="7" max="7" width="23.6640625" style="257" customWidth="1"/>
    <col min="8" max="8" width="11.1640625" style="257" customWidth="1"/>
    <col min="9" max="9" width="18.6640625" style="258" customWidth="1"/>
    <col min="10" max="10" width="17.1640625" style="258" customWidth="1"/>
    <col min="11" max="11" width="28.6640625" style="257" customWidth="1"/>
    <col min="12" max="12" width="12.6640625" style="72" customWidth="1"/>
    <col min="13" max="13" width="12.6640625" style="260" customWidth="1"/>
    <col min="14" max="14" width="12.6640625" style="259" customWidth="1"/>
    <col min="15" max="15" width="6.5" style="260" customWidth="1"/>
    <col min="16" max="20" width="9" style="72"/>
    <col min="21" max="21" width="9" style="72" customWidth="1"/>
    <col min="22" max="16384" width="9" style="72"/>
  </cols>
  <sheetData>
    <row r="1" spans="2:15" ht="3.75" customHeight="1">
      <c r="B1" s="255"/>
      <c r="C1" s="256"/>
      <c r="D1" s="256"/>
      <c r="M1" s="259"/>
      <c r="N1" s="260"/>
      <c r="O1" s="72"/>
    </row>
    <row r="2" spans="2:15" s="1" customFormat="1" ht="15.75" customHeight="1">
      <c r="B2" s="261"/>
      <c r="C2" s="262"/>
      <c r="D2" s="263"/>
      <c r="E2" s="263" t="s">
        <v>278</v>
      </c>
      <c r="F2" s="515" t="s">
        <v>1446</v>
      </c>
      <c r="G2" s="516"/>
      <c r="H2" s="516"/>
      <c r="I2" s="516"/>
      <c r="J2" s="516"/>
      <c r="K2" s="517"/>
      <c r="L2" s="515" t="s">
        <v>280</v>
      </c>
      <c r="M2" s="516"/>
      <c r="N2" s="517"/>
    </row>
    <row r="3" spans="2:15" s="1" customFormat="1">
      <c r="B3" s="518" t="s">
        <v>281</v>
      </c>
      <c r="C3" s="519"/>
      <c r="D3" s="264" t="s">
        <v>282</v>
      </c>
      <c r="E3" s="265"/>
      <c r="F3" s="520"/>
      <c r="G3" s="521"/>
      <c r="H3" s="521"/>
      <c r="I3" s="521"/>
      <c r="J3" s="521"/>
      <c r="K3" s="522"/>
      <c r="L3" s="523"/>
      <c r="M3" s="524"/>
      <c r="N3" s="525"/>
    </row>
    <row r="4" spans="2:15" s="1" customFormat="1">
      <c r="B4" s="266"/>
      <c r="C4" s="267"/>
      <c r="D4" s="265" t="s">
        <v>283</v>
      </c>
      <c r="E4" s="265"/>
      <c r="F4" s="520"/>
      <c r="G4" s="521"/>
      <c r="H4" s="521"/>
      <c r="I4" s="521"/>
      <c r="J4" s="521"/>
      <c r="K4" s="522"/>
      <c r="L4" s="523"/>
      <c r="M4" s="524"/>
      <c r="N4" s="525"/>
    </row>
    <row r="5" spans="2:15" s="1" customFormat="1">
      <c r="B5" s="518" t="s">
        <v>284</v>
      </c>
      <c r="C5" s="519"/>
      <c r="D5" s="265" t="s">
        <v>285</v>
      </c>
      <c r="E5" s="265"/>
      <c r="F5" s="520"/>
      <c r="G5" s="521"/>
      <c r="H5" s="521"/>
      <c r="I5" s="521"/>
      <c r="J5" s="521"/>
      <c r="K5" s="522"/>
      <c r="L5" s="268"/>
      <c r="M5" s="268"/>
      <c r="N5" s="268"/>
    </row>
    <row r="6" spans="2:15" s="1" customFormat="1">
      <c r="B6" s="266"/>
      <c r="C6" s="267"/>
      <c r="D6" s="265" t="s">
        <v>286</v>
      </c>
      <c r="E6" s="265"/>
      <c r="F6" s="520"/>
      <c r="G6" s="521"/>
      <c r="H6" s="521"/>
      <c r="I6" s="521"/>
      <c r="J6" s="521"/>
      <c r="K6" s="522"/>
      <c r="L6" s="268"/>
      <c r="M6" s="268"/>
      <c r="N6" s="268"/>
    </row>
    <row r="7" spans="2:15" s="271" customFormat="1" ht="7.5" customHeight="1">
      <c r="B7" s="269"/>
      <c r="C7" s="270"/>
      <c r="D7" s="270"/>
      <c r="F7" s="272"/>
      <c r="G7" s="272"/>
      <c r="H7" s="272"/>
      <c r="I7" s="270"/>
      <c r="J7" s="270"/>
      <c r="K7" s="272"/>
      <c r="M7" s="273"/>
      <c r="N7" s="274"/>
    </row>
    <row r="8" spans="2:15" s="275" customFormat="1" ht="14">
      <c r="B8" s="526" t="s">
        <v>874</v>
      </c>
      <c r="C8" s="528" t="s">
        <v>875</v>
      </c>
      <c r="D8" s="530" t="s">
        <v>1447</v>
      </c>
      <c r="E8" s="531"/>
      <c r="F8" s="534" t="s">
        <v>1448</v>
      </c>
      <c r="G8" s="536" t="s">
        <v>877</v>
      </c>
      <c r="H8" s="537"/>
      <c r="I8" s="538"/>
      <c r="J8" s="542" t="s">
        <v>880</v>
      </c>
      <c r="K8" s="543"/>
      <c r="L8" s="546" t="s">
        <v>881</v>
      </c>
      <c r="M8" s="547"/>
      <c r="N8" s="548"/>
    </row>
    <row r="9" spans="2:15" s="275" customFormat="1" ht="15">
      <c r="B9" s="527"/>
      <c r="C9" s="529"/>
      <c r="D9" s="532"/>
      <c r="E9" s="533"/>
      <c r="F9" s="535"/>
      <c r="G9" s="539"/>
      <c r="H9" s="540"/>
      <c r="I9" s="541"/>
      <c r="J9" s="544"/>
      <c r="K9" s="545"/>
      <c r="L9" s="276" t="s">
        <v>882</v>
      </c>
      <c r="M9" s="277" t="s">
        <v>278</v>
      </c>
      <c r="N9" s="278" t="s">
        <v>883</v>
      </c>
    </row>
    <row r="10" spans="2:15" s="275" customFormat="1" ht="14">
      <c r="B10" s="549" t="s">
        <v>1449</v>
      </c>
      <c r="C10" s="550"/>
      <c r="D10" s="550"/>
      <c r="E10" s="550"/>
      <c r="F10" s="550"/>
      <c r="G10" s="550"/>
      <c r="H10" s="550"/>
      <c r="I10" s="550"/>
      <c r="J10" s="550"/>
      <c r="K10" s="550"/>
      <c r="L10" s="550"/>
      <c r="M10" s="550"/>
      <c r="N10" s="551"/>
    </row>
    <row r="11" spans="2:15" s="275" customFormat="1" ht="16.5" customHeight="1">
      <c r="B11" s="279">
        <v>1</v>
      </c>
      <c r="C11" s="552"/>
      <c r="D11" s="555"/>
      <c r="E11" s="556"/>
      <c r="F11" s="280" t="s">
        <v>1450</v>
      </c>
      <c r="G11" s="557" t="s">
        <v>1451</v>
      </c>
      <c r="H11" s="558"/>
      <c r="I11" s="559"/>
      <c r="J11" s="557"/>
      <c r="K11" s="560"/>
      <c r="L11" s="283"/>
      <c r="M11" s="284"/>
      <c r="N11" s="285"/>
    </row>
    <row r="12" spans="2:15" s="275" customFormat="1">
      <c r="B12" s="286">
        <f>B11+1</f>
        <v>2</v>
      </c>
      <c r="C12" s="553"/>
      <c r="D12" s="561"/>
      <c r="E12" s="562"/>
      <c r="F12" s="287" t="s">
        <v>1452</v>
      </c>
      <c r="G12" s="563" t="s">
        <v>1453</v>
      </c>
      <c r="H12" s="564"/>
      <c r="I12" s="565"/>
      <c r="J12" s="281"/>
      <c r="K12" s="282"/>
      <c r="L12" s="283"/>
      <c r="M12" s="284"/>
      <c r="N12" s="285"/>
    </row>
    <row r="13" spans="2:15" s="275" customFormat="1">
      <c r="B13" s="286">
        <f>B12+1</f>
        <v>3</v>
      </c>
      <c r="C13" s="553"/>
      <c r="D13" s="561"/>
      <c r="E13" s="562"/>
      <c r="F13" s="288" t="s">
        <v>1454</v>
      </c>
      <c r="G13" s="563" t="s">
        <v>1455</v>
      </c>
      <c r="H13" s="564"/>
      <c r="I13" s="565"/>
      <c r="J13" s="563"/>
      <c r="K13" s="566"/>
      <c r="L13" s="289"/>
      <c r="M13" s="290"/>
      <c r="N13" s="291"/>
    </row>
    <row r="14" spans="2:15" s="275" customFormat="1" ht="34.5" customHeight="1">
      <c r="B14" s="286">
        <f>B13+1</f>
        <v>4</v>
      </c>
      <c r="C14" s="554"/>
      <c r="D14" s="561"/>
      <c r="E14" s="562"/>
      <c r="F14" s="288" t="s">
        <v>1456</v>
      </c>
      <c r="G14" s="563" t="s">
        <v>1457</v>
      </c>
      <c r="H14" s="564"/>
      <c r="I14" s="565"/>
      <c r="J14" s="563" t="s">
        <v>1458</v>
      </c>
      <c r="K14" s="566"/>
      <c r="L14" s="289"/>
      <c r="M14" s="290"/>
      <c r="N14" s="291"/>
    </row>
    <row r="15" spans="2:15" s="275" customFormat="1" ht="14">
      <c r="B15" s="549" t="s">
        <v>1459</v>
      </c>
      <c r="C15" s="550"/>
      <c r="D15" s="550"/>
      <c r="E15" s="550"/>
      <c r="F15" s="550"/>
      <c r="G15" s="550"/>
      <c r="H15" s="550"/>
      <c r="I15" s="550"/>
      <c r="J15" s="550"/>
      <c r="K15" s="550"/>
      <c r="L15" s="550"/>
      <c r="M15" s="550"/>
      <c r="N15" s="551"/>
    </row>
    <row r="16" spans="2:15" s="275" customFormat="1" ht="15">
      <c r="B16" s="279">
        <v>1</v>
      </c>
      <c r="C16" s="567" t="s">
        <v>1460</v>
      </c>
      <c r="D16" s="555" t="s">
        <v>884</v>
      </c>
      <c r="E16" s="556"/>
      <c r="F16" s="292" t="s">
        <v>1461</v>
      </c>
      <c r="G16" s="557" t="s">
        <v>1462</v>
      </c>
      <c r="H16" s="558"/>
      <c r="I16" s="559"/>
      <c r="J16" s="557"/>
      <c r="K16" s="560"/>
      <c r="L16" s="283"/>
      <c r="M16" s="284"/>
      <c r="N16" s="285"/>
    </row>
    <row r="17" spans="2:14" s="275" customFormat="1">
      <c r="B17" s="286">
        <f>B16+1</f>
        <v>2</v>
      </c>
      <c r="C17" s="567"/>
      <c r="D17" s="561"/>
      <c r="E17" s="562"/>
      <c r="F17" s="287"/>
      <c r="G17" s="563" t="s">
        <v>1463</v>
      </c>
      <c r="H17" s="564"/>
      <c r="I17" s="565"/>
      <c r="J17" s="281"/>
      <c r="K17" s="282"/>
      <c r="L17" s="283"/>
      <c r="M17" s="284"/>
      <c r="N17" s="285"/>
    </row>
    <row r="18" spans="2:14" s="275" customFormat="1">
      <c r="B18" s="286">
        <f t="shared" ref="B18:B49" si="0">B17+1</f>
        <v>3</v>
      </c>
      <c r="C18" s="567"/>
      <c r="D18" s="561"/>
      <c r="E18" s="562"/>
      <c r="F18" s="288" t="s">
        <v>950</v>
      </c>
      <c r="G18" s="563" t="s">
        <v>1464</v>
      </c>
      <c r="H18" s="564"/>
      <c r="I18" s="565"/>
      <c r="J18" s="563"/>
      <c r="K18" s="566"/>
      <c r="L18" s="289"/>
      <c r="M18" s="290"/>
      <c r="N18" s="291"/>
    </row>
    <row r="19" spans="2:14" s="275" customFormat="1">
      <c r="B19" s="286">
        <f t="shared" si="0"/>
        <v>4</v>
      </c>
      <c r="C19" s="567"/>
      <c r="D19" s="561"/>
      <c r="E19" s="562"/>
      <c r="F19" s="288" t="s">
        <v>1465</v>
      </c>
      <c r="G19" s="563" t="s">
        <v>1466</v>
      </c>
      <c r="H19" s="564"/>
      <c r="I19" s="565"/>
      <c r="J19" s="563"/>
      <c r="K19" s="566"/>
      <c r="L19" s="289"/>
      <c r="M19" s="290"/>
      <c r="N19" s="291"/>
    </row>
    <row r="20" spans="2:14" s="275" customFormat="1">
      <c r="B20" s="286">
        <f t="shared" si="0"/>
        <v>5</v>
      </c>
      <c r="C20" s="567"/>
      <c r="D20" s="569"/>
      <c r="E20" s="570"/>
      <c r="F20" s="288" t="s">
        <v>1467</v>
      </c>
      <c r="G20" s="563" t="s">
        <v>1468</v>
      </c>
      <c r="H20" s="564"/>
      <c r="I20" s="565"/>
      <c r="J20" s="563"/>
      <c r="K20" s="566"/>
      <c r="L20" s="289"/>
      <c r="M20" s="290"/>
      <c r="N20" s="291"/>
    </row>
    <row r="21" spans="2:14" s="275" customFormat="1" ht="39" customHeight="1">
      <c r="B21" s="286">
        <f t="shared" si="0"/>
        <v>6</v>
      </c>
      <c r="C21" s="567"/>
      <c r="D21" s="571" t="s">
        <v>902</v>
      </c>
      <c r="E21" s="572"/>
      <c r="F21" s="293" t="s">
        <v>1461</v>
      </c>
      <c r="G21" s="563" t="s">
        <v>1469</v>
      </c>
      <c r="H21" s="564"/>
      <c r="I21" s="565"/>
      <c r="J21" s="563" t="s">
        <v>1470</v>
      </c>
      <c r="K21" s="566"/>
      <c r="L21" s="289"/>
      <c r="M21" s="290"/>
      <c r="N21" s="291"/>
    </row>
    <row r="22" spans="2:14" s="275" customFormat="1">
      <c r="B22" s="286">
        <f t="shared" si="0"/>
        <v>7</v>
      </c>
      <c r="C22" s="567"/>
      <c r="D22" s="561"/>
      <c r="E22" s="562"/>
      <c r="F22" s="292"/>
      <c r="G22" s="563" t="s">
        <v>1471</v>
      </c>
      <c r="H22" s="564"/>
      <c r="I22" s="565"/>
      <c r="J22" s="563"/>
      <c r="K22" s="566"/>
      <c r="L22" s="289"/>
      <c r="M22" s="290"/>
      <c r="N22" s="291"/>
    </row>
    <row r="23" spans="2:14" s="275" customFormat="1">
      <c r="B23" s="286">
        <f t="shared" si="0"/>
        <v>8</v>
      </c>
      <c r="C23" s="567"/>
      <c r="D23" s="561"/>
      <c r="E23" s="562"/>
      <c r="F23" s="287"/>
      <c r="G23" s="563" t="s">
        <v>1472</v>
      </c>
      <c r="H23" s="564"/>
      <c r="I23" s="565"/>
      <c r="J23" s="563"/>
      <c r="K23" s="566"/>
      <c r="L23" s="289"/>
      <c r="M23" s="290"/>
      <c r="N23" s="291"/>
    </row>
    <row r="24" spans="2:14" s="294" customFormat="1">
      <c r="B24" s="286">
        <f t="shared" si="0"/>
        <v>9</v>
      </c>
      <c r="C24" s="567"/>
      <c r="D24" s="561"/>
      <c r="E24" s="562"/>
      <c r="F24" s="288" t="s">
        <v>950</v>
      </c>
      <c r="G24" s="563" t="s">
        <v>1464</v>
      </c>
      <c r="H24" s="564"/>
      <c r="I24" s="565"/>
      <c r="J24" s="563"/>
      <c r="K24" s="566"/>
      <c r="L24" s="289"/>
      <c r="M24" s="290"/>
      <c r="N24" s="291"/>
    </row>
    <row r="25" spans="2:14" s="294" customFormat="1">
      <c r="B25" s="286">
        <f t="shared" si="0"/>
        <v>10</v>
      </c>
      <c r="C25" s="567"/>
      <c r="D25" s="561"/>
      <c r="E25" s="562"/>
      <c r="F25" s="288" t="s">
        <v>952</v>
      </c>
      <c r="G25" s="563" t="s">
        <v>1473</v>
      </c>
      <c r="H25" s="564"/>
      <c r="I25" s="565"/>
      <c r="J25" s="563"/>
      <c r="K25" s="566"/>
      <c r="L25" s="289"/>
      <c r="M25" s="290"/>
      <c r="N25" s="291"/>
    </row>
    <row r="26" spans="2:14" s="275" customFormat="1">
      <c r="B26" s="286">
        <f t="shared" si="0"/>
        <v>11</v>
      </c>
      <c r="C26" s="567"/>
      <c r="D26" s="561"/>
      <c r="E26" s="562"/>
      <c r="F26" s="288" t="s">
        <v>1465</v>
      </c>
      <c r="G26" s="563" t="s">
        <v>1466</v>
      </c>
      <c r="H26" s="564"/>
      <c r="I26" s="565"/>
      <c r="J26" s="563"/>
      <c r="K26" s="566"/>
      <c r="L26" s="289"/>
      <c r="M26" s="290"/>
      <c r="N26" s="291"/>
    </row>
    <row r="27" spans="2:14" s="275" customFormat="1">
      <c r="B27" s="286">
        <f t="shared" si="0"/>
        <v>12</v>
      </c>
      <c r="C27" s="567"/>
      <c r="D27" s="569"/>
      <c r="E27" s="570"/>
      <c r="F27" s="288" t="s">
        <v>1467</v>
      </c>
      <c r="G27" s="563" t="s">
        <v>1468</v>
      </c>
      <c r="H27" s="564"/>
      <c r="I27" s="565"/>
      <c r="J27" s="563"/>
      <c r="K27" s="566"/>
      <c r="L27" s="289"/>
      <c r="M27" s="290"/>
      <c r="N27" s="291"/>
    </row>
    <row r="28" spans="2:14" s="275" customFormat="1">
      <c r="B28" s="286">
        <f t="shared" si="0"/>
        <v>13</v>
      </c>
      <c r="C28" s="567"/>
      <c r="D28" s="571" t="s">
        <v>1474</v>
      </c>
      <c r="E28" s="572"/>
      <c r="F28" s="293" t="s">
        <v>1461</v>
      </c>
      <c r="G28" s="563" t="s">
        <v>1475</v>
      </c>
      <c r="H28" s="564"/>
      <c r="I28" s="565"/>
      <c r="J28" s="563"/>
      <c r="K28" s="566"/>
      <c r="L28" s="289"/>
      <c r="M28" s="290"/>
      <c r="N28" s="291"/>
    </row>
    <row r="29" spans="2:14" s="275" customFormat="1">
      <c r="B29" s="286">
        <f t="shared" si="0"/>
        <v>14</v>
      </c>
      <c r="C29" s="568"/>
      <c r="D29" s="569"/>
      <c r="E29" s="570"/>
      <c r="F29" s="287"/>
      <c r="G29" s="563" t="s">
        <v>1476</v>
      </c>
      <c r="H29" s="564"/>
      <c r="I29" s="565"/>
      <c r="J29" s="563"/>
      <c r="K29" s="566"/>
      <c r="L29" s="289"/>
      <c r="M29" s="290"/>
      <c r="N29" s="291"/>
    </row>
    <row r="30" spans="2:14" s="295" customFormat="1">
      <c r="B30" s="286">
        <f t="shared" si="0"/>
        <v>15</v>
      </c>
      <c r="C30" s="575" t="s">
        <v>1026</v>
      </c>
      <c r="D30" s="571" t="s">
        <v>1477</v>
      </c>
      <c r="E30" s="574"/>
      <c r="F30" s="288" t="s">
        <v>314</v>
      </c>
      <c r="G30" s="563" t="s">
        <v>1478</v>
      </c>
      <c r="H30" s="564"/>
      <c r="I30" s="565"/>
      <c r="J30" s="563"/>
      <c r="K30" s="566"/>
      <c r="L30" s="289"/>
      <c r="M30" s="290"/>
      <c r="N30" s="291"/>
    </row>
    <row r="31" spans="2:14" s="295" customFormat="1">
      <c r="B31" s="286">
        <f t="shared" si="0"/>
        <v>16</v>
      </c>
      <c r="C31" s="567"/>
      <c r="D31" s="555"/>
      <c r="E31" s="576"/>
      <c r="F31" s="288" t="s">
        <v>950</v>
      </c>
      <c r="G31" s="563" t="s">
        <v>1479</v>
      </c>
      <c r="H31" s="564"/>
      <c r="I31" s="565"/>
      <c r="J31" s="563"/>
      <c r="K31" s="566"/>
      <c r="L31" s="289"/>
      <c r="M31" s="290"/>
      <c r="N31" s="291"/>
    </row>
    <row r="32" spans="2:14" s="295" customFormat="1">
      <c r="B32" s="286">
        <f t="shared" si="0"/>
        <v>17</v>
      </c>
      <c r="C32" s="567"/>
      <c r="D32" s="555"/>
      <c r="E32" s="576"/>
      <c r="F32" s="288" t="s">
        <v>1480</v>
      </c>
      <c r="G32" s="563" t="s">
        <v>1479</v>
      </c>
      <c r="H32" s="564"/>
      <c r="I32" s="565"/>
      <c r="J32" s="563"/>
      <c r="K32" s="566"/>
      <c r="L32" s="289"/>
      <c r="M32" s="290"/>
      <c r="N32" s="291"/>
    </row>
    <row r="33" spans="2:14" s="295" customFormat="1">
      <c r="B33" s="286">
        <f t="shared" si="0"/>
        <v>18</v>
      </c>
      <c r="C33" s="567"/>
      <c r="D33" s="557"/>
      <c r="E33" s="573"/>
      <c r="F33" s="288" t="s">
        <v>1481</v>
      </c>
      <c r="G33" s="563" t="s">
        <v>1479</v>
      </c>
      <c r="H33" s="564"/>
      <c r="I33" s="565"/>
      <c r="J33" s="563"/>
      <c r="K33" s="566"/>
      <c r="L33" s="289"/>
      <c r="M33" s="290"/>
      <c r="N33" s="291"/>
    </row>
    <row r="34" spans="2:14" s="294" customFormat="1">
      <c r="B34" s="286">
        <f t="shared" si="0"/>
        <v>19</v>
      </c>
      <c r="C34" s="567"/>
      <c r="D34" s="571" t="s">
        <v>1482</v>
      </c>
      <c r="E34" s="574"/>
      <c r="F34" s="288" t="s">
        <v>1461</v>
      </c>
      <c r="G34" s="563" t="s">
        <v>1483</v>
      </c>
      <c r="H34" s="564"/>
      <c r="I34" s="565"/>
      <c r="J34" s="563" t="s">
        <v>1484</v>
      </c>
      <c r="K34" s="566"/>
      <c r="L34" s="289"/>
      <c r="M34" s="290"/>
      <c r="N34" s="291"/>
    </row>
    <row r="35" spans="2:14" s="294" customFormat="1">
      <c r="B35" s="286">
        <f t="shared" si="0"/>
        <v>20</v>
      </c>
      <c r="C35" s="567"/>
      <c r="D35" s="555"/>
      <c r="E35" s="576"/>
      <c r="F35" s="288" t="s">
        <v>1485</v>
      </c>
      <c r="G35" s="563" t="s">
        <v>1486</v>
      </c>
      <c r="H35" s="564"/>
      <c r="I35" s="565"/>
      <c r="J35" s="563" t="s">
        <v>1487</v>
      </c>
      <c r="K35" s="566"/>
      <c r="L35" s="289"/>
      <c r="M35" s="290"/>
      <c r="N35" s="291"/>
    </row>
    <row r="36" spans="2:14" s="294" customFormat="1">
      <c r="B36" s="286">
        <f t="shared" si="0"/>
        <v>21</v>
      </c>
      <c r="C36" s="567"/>
      <c r="D36" s="577"/>
      <c r="E36" s="576"/>
      <c r="F36" s="288" t="s">
        <v>1488</v>
      </c>
      <c r="G36" s="563" t="s">
        <v>1486</v>
      </c>
      <c r="H36" s="564"/>
      <c r="I36" s="565"/>
      <c r="J36" s="563" t="s">
        <v>1487</v>
      </c>
      <c r="K36" s="566"/>
      <c r="L36" s="289"/>
      <c r="M36" s="290"/>
      <c r="N36" s="291"/>
    </row>
    <row r="37" spans="2:14" s="294" customFormat="1">
      <c r="B37" s="286">
        <f t="shared" si="0"/>
        <v>22</v>
      </c>
      <c r="C37" s="567"/>
      <c r="D37" s="577"/>
      <c r="E37" s="576"/>
      <c r="F37" s="288" t="s">
        <v>1489</v>
      </c>
      <c r="G37" s="563" t="s">
        <v>1490</v>
      </c>
      <c r="H37" s="564"/>
      <c r="I37" s="565"/>
      <c r="J37" s="563" t="s">
        <v>1487</v>
      </c>
      <c r="K37" s="566"/>
      <c r="L37" s="289"/>
      <c r="M37" s="290"/>
      <c r="N37" s="291"/>
    </row>
    <row r="38" spans="2:14" s="294" customFormat="1">
      <c r="B38" s="286">
        <f t="shared" si="0"/>
        <v>23</v>
      </c>
      <c r="C38" s="567"/>
      <c r="D38" s="578"/>
      <c r="E38" s="573"/>
      <c r="F38" s="288" t="s">
        <v>1491</v>
      </c>
      <c r="G38" s="563" t="s">
        <v>1492</v>
      </c>
      <c r="H38" s="564"/>
      <c r="I38" s="565"/>
      <c r="J38" s="563" t="s">
        <v>1487</v>
      </c>
      <c r="K38" s="566"/>
      <c r="L38" s="289"/>
      <c r="M38" s="290"/>
      <c r="N38" s="291"/>
    </row>
    <row r="39" spans="2:14" s="295" customFormat="1" ht="32.25" customHeight="1">
      <c r="B39" s="286">
        <f t="shared" si="0"/>
        <v>24</v>
      </c>
      <c r="C39" s="575" t="s">
        <v>1493</v>
      </c>
      <c r="D39" s="571" t="s">
        <v>1494</v>
      </c>
      <c r="E39" s="574"/>
      <c r="F39" s="293" t="s">
        <v>1461</v>
      </c>
      <c r="G39" s="563" t="s">
        <v>1495</v>
      </c>
      <c r="H39" s="564"/>
      <c r="I39" s="565"/>
      <c r="J39" s="563" t="s">
        <v>1496</v>
      </c>
      <c r="K39" s="566"/>
      <c r="L39" s="289"/>
      <c r="M39" s="290"/>
      <c r="N39" s="291"/>
    </row>
    <row r="40" spans="2:14" s="295" customFormat="1">
      <c r="B40" s="286">
        <f t="shared" si="0"/>
        <v>25</v>
      </c>
      <c r="C40" s="567"/>
      <c r="D40" s="555"/>
      <c r="E40" s="576"/>
      <c r="F40" s="287"/>
      <c r="G40" s="563" t="s">
        <v>1497</v>
      </c>
      <c r="H40" s="564"/>
      <c r="I40" s="565"/>
      <c r="J40" s="563" t="s">
        <v>1498</v>
      </c>
      <c r="K40" s="566"/>
      <c r="L40" s="289"/>
      <c r="M40" s="290"/>
      <c r="N40" s="291"/>
    </row>
    <row r="41" spans="2:14" s="295" customFormat="1">
      <c r="B41" s="286">
        <f t="shared" si="0"/>
        <v>26</v>
      </c>
      <c r="C41" s="567"/>
      <c r="D41" s="555"/>
      <c r="E41" s="576"/>
      <c r="F41" s="288" t="s">
        <v>1465</v>
      </c>
      <c r="G41" s="563" t="s">
        <v>1499</v>
      </c>
      <c r="H41" s="564"/>
      <c r="I41" s="565"/>
      <c r="J41" s="563"/>
      <c r="K41" s="566"/>
      <c r="L41" s="289"/>
      <c r="M41" s="290"/>
      <c r="N41" s="291"/>
    </row>
    <row r="42" spans="2:14" s="295" customFormat="1">
      <c r="B42" s="286">
        <f t="shared" si="0"/>
        <v>27</v>
      </c>
      <c r="C42" s="567"/>
      <c r="D42" s="555"/>
      <c r="E42" s="576"/>
      <c r="F42" s="288" t="s">
        <v>1467</v>
      </c>
      <c r="G42" s="563" t="s">
        <v>1500</v>
      </c>
      <c r="H42" s="564"/>
      <c r="I42" s="565"/>
      <c r="J42" s="563"/>
      <c r="K42" s="566"/>
      <c r="L42" s="289"/>
      <c r="M42" s="290"/>
      <c r="N42" s="291"/>
    </row>
    <row r="43" spans="2:14" s="294" customFormat="1">
      <c r="B43" s="286">
        <f t="shared" si="0"/>
        <v>28</v>
      </c>
      <c r="C43" s="567"/>
      <c r="D43" s="571" t="s">
        <v>1501</v>
      </c>
      <c r="E43" s="574"/>
      <c r="F43" s="293" t="s">
        <v>1461</v>
      </c>
      <c r="G43" s="563" t="s">
        <v>1495</v>
      </c>
      <c r="H43" s="564"/>
      <c r="I43" s="565"/>
      <c r="J43" s="563"/>
      <c r="K43" s="566"/>
      <c r="L43" s="289"/>
      <c r="M43" s="290"/>
      <c r="N43" s="291"/>
    </row>
    <row r="44" spans="2:14" s="294" customFormat="1">
      <c r="B44" s="286">
        <f t="shared" si="0"/>
        <v>29</v>
      </c>
      <c r="C44" s="567"/>
      <c r="D44" s="555"/>
      <c r="E44" s="576"/>
      <c r="F44" s="287"/>
      <c r="G44" s="563" t="s">
        <v>1502</v>
      </c>
      <c r="H44" s="564"/>
      <c r="I44" s="565"/>
      <c r="J44" s="563" t="s">
        <v>1503</v>
      </c>
      <c r="K44" s="566"/>
      <c r="L44" s="289"/>
      <c r="M44" s="290"/>
      <c r="N44" s="291"/>
    </row>
    <row r="45" spans="2:14" s="294" customFormat="1">
      <c r="B45" s="286">
        <f t="shared" si="0"/>
        <v>30</v>
      </c>
      <c r="C45" s="567"/>
      <c r="D45" s="577"/>
      <c r="E45" s="576"/>
      <c r="F45" s="288" t="s">
        <v>1465</v>
      </c>
      <c r="G45" s="563" t="s">
        <v>1499</v>
      </c>
      <c r="H45" s="564"/>
      <c r="I45" s="565"/>
      <c r="J45" s="563"/>
      <c r="K45" s="566"/>
      <c r="L45" s="289"/>
      <c r="M45" s="290"/>
      <c r="N45" s="291"/>
    </row>
    <row r="46" spans="2:14" s="294" customFormat="1">
      <c r="B46" s="286">
        <f t="shared" si="0"/>
        <v>31</v>
      </c>
      <c r="C46" s="567"/>
      <c r="D46" s="577"/>
      <c r="E46" s="576"/>
      <c r="F46" s="288" t="s">
        <v>1467</v>
      </c>
      <c r="G46" s="563" t="s">
        <v>1500</v>
      </c>
      <c r="H46" s="564"/>
      <c r="I46" s="565"/>
      <c r="J46" s="563"/>
      <c r="K46" s="566"/>
      <c r="L46" s="289"/>
      <c r="M46" s="290"/>
      <c r="N46" s="291"/>
    </row>
    <row r="47" spans="2:14" s="294" customFormat="1">
      <c r="B47" s="286">
        <f t="shared" si="0"/>
        <v>32</v>
      </c>
      <c r="C47" s="567"/>
      <c r="D47" s="577"/>
      <c r="E47" s="576"/>
      <c r="F47" s="288" t="s">
        <v>1504</v>
      </c>
      <c r="G47" s="563" t="s">
        <v>1505</v>
      </c>
      <c r="H47" s="564"/>
      <c r="I47" s="565"/>
      <c r="J47" s="563"/>
      <c r="K47" s="566"/>
      <c r="L47" s="289"/>
      <c r="M47" s="290"/>
      <c r="N47" s="291"/>
    </row>
    <row r="48" spans="2:14" s="294" customFormat="1">
      <c r="B48" s="286">
        <f t="shared" si="0"/>
        <v>33</v>
      </c>
      <c r="C48" s="296"/>
      <c r="D48" s="577"/>
      <c r="E48" s="576"/>
      <c r="F48" s="288" t="s">
        <v>1506</v>
      </c>
      <c r="G48" s="563" t="s">
        <v>1507</v>
      </c>
      <c r="H48" s="564"/>
      <c r="I48" s="565"/>
      <c r="J48" s="563"/>
      <c r="K48" s="566"/>
      <c r="L48" s="289"/>
      <c r="M48" s="290"/>
      <c r="N48" s="291"/>
    </row>
    <row r="49" spans="2:14" s="294" customFormat="1" ht="36.75" customHeight="1">
      <c r="B49" s="286">
        <f t="shared" si="0"/>
        <v>34</v>
      </c>
      <c r="C49" s="297"/>
      <c r="D49" s="579"/>
      <c r="E49" s="580"/>
      <c r="F49" s="298" t="s">
        <v>1508</v>
      </c>
      <c r="G49" s="581" t="s">
        <v>1509</v>
      </c>
      <c r="H49" s="582"/>
      <c r="I49" s="583"/>
      <c r="J49" s="581" t="s">
        <v>1510</v>
      </c>
      <c r="K49" s="584"/>
      <c r="L49" s="299"/>
      <c r="M49" s="300"/>
      <c r="N49" s="301"/>
    </row>
  </sheetData>
  <mergeCells count="135">
    <mergeCell ref="D46:E46"/>
    <mergeCell ref="G46:I46"/>
    <mergeCell ref="J46:K46"/>
    <mergeCell ref="D47:E47"/>
    <mergeCell ref="G47:I47"/>
    <mergeCell ref="J47:K47"/>
    <mergeCell ref="D48:E48"/>
    <mergeCell ref="G48:I48"/>
    <mergeCell ref="J48:K48"/>
    <mergeCell ref="D49:E49"/>
    <mergeCell ref="G49:I49"/>
    <mergeCell ref="J49:K49"/>
    <mergeCell ref="D42:E42"/>
    <mergeCell ref="G42:I42"/>
    <mergeCell ref="J42:K42"/>
    <mergeCell ref="D43:E43"/>
    <mergeCell ref="G43:I43"/>
    <mergeCell ref="J43:K43"/>
    <mergeCell ref="D44:E44"/>
    <mergeCell ref="G44:I44"/>
    <mergeCell ref="J44:K44"/>
    <mergeCell ref="D45:E45"/>
    <mergeCell ref="G45:I45"/>
    <mergeCell ref="J45:K45"/>
    <mergeCell ref="C39:C47"/>
    <mergeCell ref="D39:E39"/>
    <mergeCell ref="G39:I39"/>
    <mergeCell ref="J39:K39"/>
    <mergeCell ref="D40:E40"/>
    <mergeCell ref="G40:I40"/>
    <mergeCell ref="J40:K40"/>
    <mergeCell ref="D41:E41"/>
    <mergeCell ref="G41:I41"/>
    <mergeCell ref="J41:K41"/>
    <mergeCell ref="D35:E35"/>
    <mergeCell ref="G35:I35"/>
    <mergeCell ref="J35:K35"/>
    <mergeCell ref="D36:E36"/>
    <mergeCell ref="G36:I36"/>
    <mergeCell ref="J36:K36"/>
    <mergeCell ref="D37:E37"/>
    <mergeCell ref="G37:I37"/>
    <mergeCell ref="J37:K37"/>
    <mergeCell ref="D38:E38"/>
    <mergeCell ref="G38:I38"/>
    <mergeCell ref="J38:K38"/>
    <mergeCell ref="C30:C38"/>
    <mergeCell ref="D30:E30"/>
    <mergeCell ref="G30:I30"/>
    <mergeCell ref="J30:K30"/>
    <mergeCell ref="D31:E31"/>
    <mergeCell ref="G31:I31"/>
    <mergeCell ref="J31:K31"/>
    <mergeCell ref="D32:E32"/>
    <mergeCell ref="G32:I32"/>
    <mergeCell ref="J32:K32"/>
    <mergeCell ref="D33:E33"/>
    <mergeCell ref="G33:I33"/>
    <mergeCell ref="J33:K33"/>
    <mergeCell ref="D34:E34"/>
    <mergeCell ref="G34:I34"/>
    <mergeCell ref="J34:K34"/>
    <mergeCell ref="D26:E26"/>
    <mergeCell ref="G26:I26"/>
    <mergeCell ref="J26:K26"/>
    <mergeCell ref="D27:E27"/>
    <mergeCell ref="G27:I27"/>
    <mergeCell ref="J27:K27"/>
    <mergeCell ref="D28:E28"/>
    <mergeCell ref="G28:I28"/>
    <mergeCell ref="J28:K28"/>
    <mergeCell ref="D29:E29"/>
    <mergeCell ref="G29:I29"/>
    <mergeCell ref="J29:K29"/>
    <mergeCell ref="D22:E22"/>
    <mergeCell ref="G22:I22"/>
    <mergeCell ref="J22:K22"/>
    <mergeCell ref="D23:E23"/>
    <mergeCell ref="G23:I23"/>
    <mergeCell ref="J23:K23"/>
    <mergeCell ref="D24:E24"/>
    <mergeCell ref="G24:I24"/>
    <mergeCell ref="J24:K24"/>
    <mergeCell ref="D25:E25"/>
    <mergeCell ref="G25:I25"/>
    <mergeCell ref="J25:K25"/>
    <mergeCell ref="G17:I17"/>
    <mergeCell ref="D18:E18"/>
    <mergeCell ref="G18:I18"/>
    <mergeCell ref="J18:K18"/>
    <mergeCell ref="D19:E19"/>
    <mergeCell ref="G19:I19"/>
    <mergeCell ref="J19:K19"/>
    <mergeCell ref="D20:E20"/>
    <mergeCell ref="G20:I20"/>
    <mergeCell ref="J20:K20"/>
    <mergeCell ref="D21:E21"/>
    <mergeCell ref="G21:I21"/>
    <mergeCell ref="J21:K21"/>
    <mergeCell ref="J13:K13"/>
    <mergeCell ref="D14:E14"/>
    <mergeCell ref="G14:I14"/>
    <mergeCell ref="J14:K14"/>
    <mergeCell ref="B15:N15"/>
    <mergeCell ref="C16:C29"/>
    <mergeCell ref="D16:E16"/>
    <mergeCell ref="G16:I16"/>
    <mergeCell ref="J16:K16"/>
    <mergeCell ref="D17:E17"/>
    <mergeCell ref="L8:N8"/>
    <mergeCell ref="B10:N10"/>
    <mergeCell ref="C11:C14"/>
    <mergeCell ref="D11:E11"/>
    <mergeCell ref="G11:I11"/>
    <mergeCell ref="J11:K11"/>
    <mergeCell ref="D12:E12"/>
    <mergeCell ref="G12:I12"/>
    <mergeCell ref="D13:E13"/>
    <mergeCell ref="G13:I13"/>
    <mergeCell ref="B5:C5"/>
    <mergeCell ref="F5:K5"/>
    <mergeCell ref="F6:K6"/>
    <mergeCell ref="B8:B9"/>
    <mergeCell ref="C8:C9"/>
    <mergeCell ref="D8:E9"/>
    <mergeCell ref="F8:F9"/>
    <mergeCell ref="G8:I9"/>
    <mergeCell ref="J8:K9"/>
    <mergeCell ref="F2:K2"/>
    <mergeCell ref="L2:N2"/>
    <mergeCell ref="B3:C3"/>
    <mergeCell ref="F3:K3"/>
    <mergeCell ref="L3:N3"/>
    <mergeCell ref="F4:K4"/>
    <mergeCell ref="L4:N4"/>
  </mergeCells>
  <phoneticPr fontId="56"/>
  <pageMargins left="0.25" right="0.25" top="0.45" bottom="0.49" header="0.3" footer="0.3"/>
  <pageSetup paperSize="9" scale="63" fitToHeight="0" orientation="landscape"/>
  <headerFooter>
    <oddFooter>&amp;C&amp;P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A975-63D2-8A4E-9CB0-D7A30ACEB230}">
  <dimension ref="B1:K46"/>
  <sheetViews>
    <sheetView zoomScale="85" zoomScaleNormal="85" workbookViewId="0">
      <selection sqref="A1:IV65536"/>
    </sheetView>
  </sheetViews>
  <sheetFormatPr baseColWidth="10" defaultColWidth="3.6640625" defaultRowHeight="16"/>
  <cols>
    <col min="1" max="1" width="1.5" style="87" customWidth="1"/>
    <col min="2" max="2" width="2.6640625" style="87" customWidth="1"/>
    <col min="3" max="3" width="6.1640625" style="87" customWidth="1"/>
    <col min="4" max="4" width="14.5" style="87" customWidth="1"/>
    <col min="5" max="5" width="19.5" style="87" bestFit="1" customWidth="1"/>
    <col min="6" max="6" width="95.6640625" style="87" bestFit="1" customWidth="1"/>
    <col min="7" max="7" width="50.6640625" style="87" customWidth="1"/>
    <col min="8" max="8" width="5.6640625" style="88" customWidth="1"/>
    <col min="9" max="9" width="50.6640625" style="87" customWidth="1"/>
    <col min="10" max="16384" width="3.6640625" style="87"/>
  </cols>
  <sheetData>
    <row r="1" spans="2:11" ht="4.5" customHeight="1"/>
    <row r="2" spans="2:11" ht="15" customHeight="1">
      <c r="B2" s="350"/>
      <c r="C2" s="351"/>
      <c r="D2" s="89"/>
      <c r="E2" s="89" t="s">
        <v>523</v>
      </c>
      <c r="F2" s="89" t="s">
        <v>524</v>
      </c>
      <c r="G2" s="90" t="s">
        <v>525</v>
      </c>
      <c r="H2" s="91"/>
      <c r="I2" s="92"/>
    </row>
    <row r="3" spans="2:11" ht="25" customHeight="1">
      <c r="B3" s="352" t="s">
        <v>526</v>
      </c>
      <c r="C3" s="353"/>
      <c r="D3" s="93" t="s">
        <v>527</v>
      </c>
      <c r="E3" s="94"/>
      <c r="F3" s="94"/>
      <c r="G3" s="95"/>
      <c r="H3" s="91"/>
      <c r="I3" s="92"/>
    </row>
    <row r="4" spans="2:11" ht="25" customHeight="1">
      <c r="B4" s="354"/>
      <c r="C4" s="355"/>
      <c r="D4" s="94" t="s">
        <v>528</v>
      </c>
      <c r="E4" s="94"/>
      <c r="F4" s="94"/>
      <c r="G4" s="95"/>
      <c r="H4" s="91"/>
      <c r="I4" s="92"/>
    </row>
    <row r="5" spans="2:11" ht="25" customHeight="1">
      <c r="B5" s="352" t="s">
        <v>529</v>
      </c>
      <c r="C5" s="353"/>
      <c r="D5" s="94" t="s">
        <v>530</v>
      </c>
      <c r="E5" s="94"/>
      <c r="F5" s="95"/>
      <c r="G5" s="96"/>
      <c r="H5" s="91"/>
      <c r="I5" s="92"/>
    </row>
    <row r="6" spans="2:11" ht="25" customHeight="1">
      <c r="B6" s="354"/>
      <c r="C6" s="355"/>
      <c r="D6" s="94" t="s">
        <v>531</v>
      </c>
      <c r="E6" s="94"/>
      <c r="F6" s="95"/>
      <c r="G6" s="96"/>
      <c r="H6" s="91"/>
      <c r="I6" s="92"/>
    </row>
    <row r="7" spans="2:11" ht="16.5" customHeight="1"/>
    <row r="8" spans="2:11" ht="36" customHeight="1" thickBot="1">
      <c r="B8" s="356" t="s">
        <v>293</v>
      </c>
      <c r="C8" s="357"/>
      <c r="D8" s="116" t="s">
        <v>294</v>
      </c>
      <c r="E8" s="116" t="s">
        <v>295</v>
      </c>
      <c r="F8" s="116" t="s">
        <v>296</v>
      </c>
      <c r="G8" s="116" t="s">
        <v>297</v>
      </c>
      <c r="H8" s="97" t="s">
        <v>299</v>
      </c>
      <c r="I8" s="98" t="s">
        <v>300</v>
      </c>
    </row>
    <row r="9" spans="2:11" ht="20.25" customHeight="1" thickTop="1">
      <c r="B9" s="99">
        <v>1</v>
      </c>
      <c r="C9" s="100" t="s">
        <v>532</v>
      </c>
      <c r="D9" s="101"/>
      <c r="E9" s="102"/>
      <c r="F9" s="102"/>
      <c r="G9" s="102"/>
      <c r="H9" s="103"/>
      <c r="I9" s="104"/>
    </row>
    <row r="10" spans="2:11" ht="34">
      <c r="B10" s="345" t="s">
        <v>302</v>
      </c>
      <c r="C10" s="346"/>
      <c r="D10" s="84"/>
      <c r="E10" s="84" t="s">
        <v>702</v>
      </c>
      <c r="F10" s="84" t="s">
        <v>1188</v>
      </c>
      <c r="G10" s="84"/>
      <c r="H10" s="81"/>
      <c r="I10" s="82"/>
    </row>
    <row r="11" spans="2:11" ht="34">
      <c r="B11" s="345" t="s">
        <v>306</v>
      </c>
      <c r="C11" s="346"/>
      <c r="D11" s="105"/>
      <c r="E11" s="28" t="s">
        <v>704</v>
      </c>
      <c r="F11" s="28" t="s">
        <v>705</v>
      </c>
      <c r="G11" s="84"/>
      <c r="H11" s="81"/>
      <c r="I11" s="82"/>
      <c r="K11" s="87" t="s">
        <v>1191</v>
      </c>
    </row>
    <row r="12" spans="2:11" ht="34">
      <c r="B12" s="585" t="s">
        <v>706</v>
      </c>
      <c r="C12" s="586"/>
      <c r="D12" s="170"/>
      <c r="E12" s="69" t="s">
        <v>1192</v>
      </c>
      <c r="F12" s="171" t="s">
        <v>1511</v>
      </c>
      <c r="G12" s="84"/>
      <c r="H12" s="81"/>
      <c r="I12" s="82"/>
      <c r="K12" s="87" t="s">
        <v>1194</v>
      </c>
    </row>
    <row r="13" spans="2:11" ht="34">
      <c r="B13" s="345" t="s">
        <v>708</v>
      </c>
      <c r="C13" s="346"/>
      <c r="D13" s="105"/>
      <c r="E13" s="28" t="s">
        <v>709</v>
      </c>
      <c r="F13" s="28" t="s">
        <v>710</v>
      </c>
      <c r="G13" s="84"/>
      <c r="H13" s="81"/>
      <c r="I13" s="82"/>
      <c r="K13" s="87" t="s">
        <v>1223</v>
      </c>
    </row>
    <row r="14" spans="2:11" ht="20.25" customHeight="1">
      <c r="B14" s="106">
        <v>2</v>
      </c>
      <c r="C14" s="107" t="s">
        <v>1197</v>
      </c>
      <c r="D14" s="108"/>
      <c r="E14" s="109"/>
      <c r="F14" s="109"/>
      <c r="G14" s="109"/>
      <c r="H14" s="108"/>
      <c r="I14" s="109"/>
    </row>
    <row r="15" spans="2:11" ht="68">
      <c r="B15" s="358" t="s">
        <v>540</v>
      </c>
      <c r="C15" s="358"/>
      <c r="D15" s="28"/>
      <c r="E15" s="27" t="s">
        <v>1198</v>
      </c>
      <c r="F15" s="28" t="s">
        <v>1199</v>
      </c>
      <c r="G15" s="28"/>
      <c r="H15" s="81"/>
      <c r="I15" s="82"/>
    </row>
    <row r="16" spans="2:11" ht="68">
      <c r="B16" s="358" t="s">
        <v>1200</v>
      </c>
      <c r="C16" s="358"/>
      <c r="D16" s="28"/>
      <c r="E16" s="29"/>
      <c r="F16" s="28" t="s">
        <v>1512</v>
      </c>
      <c r="G16" s="28"/>
      <c r="H16" s="81"/>
      <c r="I16" s="82"/>
    </row>
    <row r="17" spans="2:11" ht="18">
      <c r="B17" s="358" t="s">
        <v>318</v>
      </c>
      <c r="C17" s="358"/>
      <c r="D17" s="28"/>
      <c r="E17" s="30"/>
      <c r="F17" s="28" t="s">
        <v>1203</v>
      </c>
      <c r="G17" s="28"/>
      <c r="H17" s="81"/>
      <c r="I17" s="82"/>
    </row>
    <row r="18" spans="2:11" ht="68">
      <c r="B18" s="358" t="s">
        <v>321</v>
      </c>
      <c r="C18" s="358"/>
      <c r="D18" s="28"/>
      <c r="E18" s="27" t="s">
        <v>1204</v>
      </c>
      <c r="F18" s="28" t="s">
        <v>1205</v>
      </c>
      <c r="G18" s="28"/>
      <c r="H18" s="81"/>
      <c r="I18" s="82"/>
    </row>
    <row r="19" spans="2:11" ht="51">
      <c r="B19" s="358" t="s">
        <v>324</v>
      </c>
      <c r="C19" s="358"/>
      <c r="D19" s="28"/>
      <c r="E19" s="29"/>
      <c r="F19" s="28" t="s">
        <v>1206</v>
      </c>
      <c r="G19" s="28"/>
      <c r="H19" s="81"/>
      <c r="I19" s="82"/>
    </row>
    <row r="20" spans="2:11" ht="51">
      <c r="B20" s="361" t="s">
        <v>1207</v>
      </c>
      <c r="C20" s="361"/>
      <c r="D20" s="28"/>
      <c r="E20" s="30"/>
      <c r="F20" s="69" t="s">
        <v>1513</v>
      </c>
      <c r="G20" s="28"/>
      <c r="H20" s="81"/>
      <c r="I20" s="82"/>
    </row>
    <row r="21" spans="2:11" ht="34">
      <c r="B21" s="358" t="s">
        <v>327</v>
      </c>
      <c r="C21" s="358"/>
      <c r="D21" s="28"/>
      <c r="E21" s="28" t="s">
        <v>1210</v>
      </c>
      <c r="F21" s="28" t="s">
        <v>1211</v>
      </c>
      <c r="G21" s="28"/>
      <c r="H21" s="81"/>
      <c r="I21" s="82"/>
    </row>
    <row r="22" spans="2:11" ht="34">
      <c r="B22" s="358" t="s">
        <v>330</v>
      </c>
      <c r="C22" s="358"/>
      <c r="D22" s="28"/>
      <c r="E22" s="28" t="s">
        <v>1212</v>
      </c>
      <c r="F22" s="28" t="s">
        <v>1213</v>
      </c>
      <c r="G22" s="28"/>
      <c r="H22" s="81"/>
      <c r="I22" s="82"/>
    </row>
    <row r="23" spans="2:11" ht="34">
      <c r="B23" s="358" t="s">
        <v>334</v>
      </c>
      <c r="C23" s="358"/>
      <c r="D23" s="28"/>
      <c r="E23" s="28" t="s">
        <v>1214</v>
      </c>
      <c r="F23" s="28" t="s">
        <v>1215</v>
      </c>
      <c r="G23" s="28"/>
      <c r="H23" s="81"/>
      <c r="I23" s="82"/>
    </row>
    <row r="24" spans="2:11" ht="57" customHeight="1">
      <c r="B24" s="358" t="s">
        <v>335</v>
      </c>
      <c r="C24" s="358"/>
      <c r="D24" s="28"/>
      <c r="E24" s="28" t="s">
        <v>1216</v>
      </c>
      <c r="F24" s="28" t="s">
        <v>1514</v>
      </c>
      <c r="G24" s="28"/>
      <c r="H24" s="81"/>
      <c r="I24" s="82"/>
    </row>
    <row r="25" spans="2:11" ht="20.25" customHeight="1">
      <c r="B25" s="106">
        <v>3</v>
      </c>
      <c r="C25" s="107" t="s">
        <v>1515</v>
      </c>
      <c r="D25" s="108"/>
      <c r="E25" s="109"/>
      <c r="F25" s="109"/>
      <c r="G25" s="109"/>
      <c r="H25" s="108"/>
      <c r="I25" s="109"/>
    </row>
    <row r="26" spans="2:11" ht="34">
      <c r="B26" s="358" t="s">
        <v>1225</v>
      </c>
      <c r="C26" s="358"/>
      <c r="D26" s="28"/>
      <c r="E26" s="28" t="s">
        <v>1516</v>
      </c>
      <c r="F26" s="28" t="s">
        <v>1517</v>
      </c>
      <c r="G26" s="28"/>
      <c r="H26" s="81"/>
      <c r="I26" s="82"/>
    </row>
    <row r="27" spans="2:11" ht="51">
      <c r="B27" s="358" t="s">
        <v>1518</v>
      </c>
      <c r="C27" s="358"/>
      <c r="D27" s="28"/>
      <c r="E27" s="28" t="s">
        <v>546</v>
      </c>
      <c r="F27" s="28" t="s">
        <v>1519</v>
      </c>
      <c r="G27" s="28"/>
      <c r="H27" s="81"/>
      <c r="I27" s="82"/>
    </row>
    <row r="28" spans="2:11" ht="51">
      <c r="B28" s="358" t="s">
        <v>565</v>
      </c>
      <c r="C28" s="358"/>
      <c r="D28" s="28"/>
      <c r="E28" s="28" t="s">
        <v>1520</v>
      </c>
      <c r="F28" s="28" t="s">
        <v>549</v>
      </c>
      <c r="G28" s="28"/>
      <c r="H28" s="81"/>
      <c r="I28" s="82"/>
    </row>
    <row r="29" spans="2:11" ht="34">
      <c r="B29" s="358" t="s">
        <v>568</v>
      </c>
      <c r="C29" s="358"/>
      <c r="D29" s="28"/>
      <c r="E29" s="28" t="s">
        <v>550</v>
      </c>
      <c r="F29" s="28" t="s">
        <v>551</v>
      </c>
      <c r="G29" s="28"/>
      <c r="H29" s="81"/>
      <c r="I29" s="82"/>
    </row>
    <row r="30" spans="2:11" ht="51">
      <c r="B30" s="358" t="s">
        <v>571</v>
      </c>
      <c r="C30" s="358"/>
      <c r="D30" s="28"/>
      <c r="E30" s="28" t="s">
        <v>552</v>
      </c>
      <c r="F30" s="28" t="s">
        <v>553</v>
      </c>
      <c r="G30" s="28"/>
      <c r="H30" s="81"/>
      <c r="I30" s="82"/>
    </row>
    <row r="31" spans="2:11" ht="34">
      <c r="B31" s="358" t="s">
        <v>573</v>
      </c>
      <c r="C31" s="358"/>
      <c r="D31" s="28"/>
      <c r="E31" s="27" t="s">
        <v>554</v>
      </c>
      <c r="F31" s="28" t="s">
        <v>555</v>
      </c>
      <c r="G31" s="28"/>
      <c r="H31" s="81"/>
      <c r="I31" s="82"/>
    </row>
    <row r="32" spans="2:11" ht="34">
      <c r="B32" s="345" t="s">
        <v>576</v>
      </c>
      <c r="C32" s="346"/>
      <c r="D32" s="28"/>
      <c r="E32" s="29"/>
      <c r="F32" s="28" t="s">
        <v>1521</v>
      </c>
      <c r="G32" s="28"/>
      <c r="H32" s="81"/>
      <c r="I32" s="82"/>
      <c r="K32" s="111"/>
    </row>
    <row r="33" spans="2:11" s="111" customFormat="1" ht="90" customHeight="1">
      <c r="B33" s="511" t="s">
        <v>579</v>
      </c>
      <c r="C33" s="512"/>
      <c r="D33" s="69"/>
      <c r="E33" s="112"/>
      <c r="F33" s="2" t="s">
        <v>556</v>
      </c>
      <c r="G33" s="69"/>
      <c r="H33" s="81"/>
      <c r="I33" s="77"/>
      <c r="K33" s="87"/>
    </row>
    <row r="34" spans="2:11" ht="34">
      <c r="B34" s="345" t="s">
        <v>582</v>
      </c>
      <c r="C34" s="346"/>
      <c r="D34" s="28"/>
      <c r="E34" s="28" t="s">
        <v>574</v>
      </c>
      <c r="F34" s="28" t="s">
        <v>575</v>
      </c>
      <c r="G34" s="28"/>
      <c r="H34" s="81"/>
      <c r="I34" s="82"/>
    </row>
    <row r="35" spans="2:11" ht="34">
      <c r="B35" s="345" t="s">
        <v>586</v>
      </c>
      <c r="C35" s="346"/>
      <c r="D35" s="28"/>
      <c r="E35" s="28" t="s">
        <v>609</v>
      </c>
      <c r="F35" s="28" t="s">
        <v>1522</v>
      </c>
      <c r="G35" s="28"/>
      <c r="H35" s="81"/>
      <c r="I35" s="82"/>
    </row>
    <row r="36" spans="2:11" ht="34">
      <c r="B36" s="345" t="s">
        <v>589</v>
      </c>
      <c r="C36" s="346"/>
      <c r="D36" s="28"/>
      <c r="E36" s="27" t="s">
        <v>441</v>
      </c>
      <c r="F36" s="28" t="s">
        <v>631</v>
      </c>
      <c r="G36" s="28"/>
      <c r="H36" s="81"/>
      <c r="I36" s="82"/>
    </row>
    <row r="37" spans="2:11" ht="34">
      <c r="B37" s="345" t="s">
        <v>591</v>
      </c>
      <c r="C37" s="346"/>
      <c r="D37" s="28"/>
      <c r="E37" s="29"/>
      <c r="F37" s="28" t="s">
        <v>633</v>
      </c>
      <c r="G37" s="28"/>
      <c r="H37" s="81"/>
      <c r="I37" s="82"/>
    </row>
    <row r="38" spans="2:11" ht="51">
      <c r="B38" s="345" t="s">
        <v>1523</v>
      </c>
      <c r="C38" s="346"/>
      <c r="D38" s="28"/>
      <c r="E38" s="29"/>
      <c r="F38" s="28" t="s">
        <v>634</v>
      </c>
      <c r="G38" s="28"/>
      <c r="H38" s="81"/>
      <c r="I38" s="82"/>
    </row>
    <row r="39" spans="2:11" ht="51">
      <c r="B39" s="345" t="s">
        <v>1524</v>
      </c>
      <c r="C39" s="346"/>
      <c r="D39" s="28"/>
      <c r="E39" s="29"/>
      <c r="F39" s="28" t="s">
        <v>1525</v>
      </c>
      <c r="G39" s="28"/>
      <c r="H39" s="81"/>
      <c r="I39" s="82"/>
    </row>
    <row r="40" spans="2:11" ht="34">
      <c r="B40" s="345" t="s">
        <v>1526</v>
      </c>
      <c r="C40" s="346"/>
      <c r="D40" s="28"/>
      <c r="E40" s="29"/>
      <c r="F40" s="28" t="s">
        <v>620</v>
      </c>
      <c r="G40" s="28"/>
      <c r="H40" s="81"/>
      <c r="I40" s="82"/>
    </row>
    <row r="41" spans="2:11" ht="34">
      <c r="B41" s="345" t="s">
        <v>601</v>
      </c>
      <c r="C41" s="346"/>
      <c r="D41" s="28"/>
      <c r="E41" s="29"/>
      <c r="F41" s="28" t="s">
        <v>1527</v>
      </c>
      <c r="G41" s="28"/>
      <c r="H41" s="81"/>
      <c r="I41" s="82"/>
    </row>
    <row r="42" spans="2:11" ht="34">
      <c r="B42" s="345" t="s">
        <v>604</v>
      </c>
      <c r="C42" s="346"/>
      <c r="D42" s="28"/>
      <c r="E42" s="29"/>
      <c r="F42" s="28" t="s">
        <v>592</v>
      </c>
      <c r="G42" s="28"/>
      <c r="H42" s="81"/>
      <c r="I42" s="82"/>
    </row>
    <row r="43" spans="2:11" ht="51">
      <c r="B43" s="345" t="s">
        <v>608</v>
      </c>
      <c r="C43" s="346"/>
      <c r="D43" s="28"/>
      <c r="E43" s="29"/>
      <c r="F43" s="28" t="s">
        <v>590</v>
      </c>
      <c r="G43" s="28"/>
      <c r="H43" s="81"/>
      <c r="I43" s="82"/>
    </row>
    <row r="44" spans="2:11" ht="51">
      <c r="B44" s="345" t="s">
        <v>610</v>
      </c>
      <c r="C44" s="346"/>
      <c r="D44" s="28"/>
      <c r="E44" s="30"/>
      <c r="F44" s="28" t="s">
        <v>1528</v>
      </c>
      <c r="G44" s="28" t="s">
        <v>594</v>
      </c>
      <c r="H44" s="81"/>
      <c r="I44" s="82"/>
    </row>
    <row r="45" spans="2:11" ht="51">
      <c r="B45" s="345" t="s">
        <v>612</v>
      </c>
      <c r="C45" s="346"/>
      <c r="D45" s="28"/>
      <c r="E45" s="359" t="s">
        <v>660</v>
      </c>
      <c r="F45" s="28" t="s">
        <v>661</v>
      </c>
      <c r="G45" s="28" t="s">
        <v>662</v>
      </c>
      <c r="H45" s="81"/>
      <c r="I45" s="82"/>
    </row>
    <row r="46" spans="2:11" ht="51">
      <c r="B46" s="358" t="s">
        <v>1529</v>
      </c>
      <c r="C46" s="358"/>
      <c r="D46" s="28"/>
      <c r="E46" s="360"/>
      <c r="F46" s="28" t="s">
        <v>663</v>
      </c>
      <c r="G46" s="28" t="s">
        <v>664</v>
      </c>
      <c r="H46" s="81"/>
      <c r="I46" s="82"/>
    </row>
  </sheetData>
  <mergeCells count="42">
    <mergeCell ref="B2:C2"/>
    <mergeCell ref="B3:C3"/>
    <mergeCell ref="B4:C4"/>
    <mergeCell ref="B5:C5"/>
    <mergeCell ref="B6:C6"/>
    <mergeCell ref="B15:C15"/>
    <mergeCell ref="B16:C16"/>
    <mergeCell ref="B17:C17"/>
    <mergeCell ref="B18:C18"/>
    <mergeCell ref="B19:C19"/>
    <mergeCell ref="B8:C8"/>
    <mergeCell ref="B10:C10"/>
    <mergeCell ref="B11:C11"/>
    <mergeCell ref="B12:C12"/>
    <mergeCell ref="B13:C13"/>
    <mergeCell ref="B26:C26"/>
    <mergeCell ref="B27:C27"/>
    <mergeCell ref="B28:C28"/>
    <mergeCell ref="B29:C29"/>
    <mergeCell ref="B30:C30"/>
    <mergeCell ref="B20:C20"/>
    <mergeCell ref="B21:C21"/>
    <mergeCell ref="B22:C22"/>
    <mergeCell ref="B23:C23"/>
    <mergeCell ref="B24:C24"/>
    <mergeCell ref="B36:C36"/>
    <mergeCell ref="B37:C37"/>
    <mergeCell ref="B38:C38"/>
    <mergeCell ref="B39:C39"/>
    <mergeCell ref="B40:C40"/>
    <mergeCell ref="B31:C31"/>
    <mergeCell ref="B32:C32"/>
    <mergeCell ref="B33:C33"/>
    <mergeCell ref="B34:C34"/>
    <mergeCell ref="B35:C35"/>
    <mergeCell ref="E45:E46"/>
    <mergeCell ref="B46:C46"/>
    <mergeCell ref="B41:C41"/>
    <mergeCell ref="B42:C42"/>
    <mergeCell ref="B43:C43"/>
    <mergeCell ref="B44:C44"/>
    <mergeCell ref="B45:C45"/>
  </mergeCells>
  <phoneticPr fontId="9"/>
  <dataValidations count="1">
    <dataValidation type="list" allowBlank="1" showInputMessage="1" showErrorMessage="1" sqref="H15:H24 H10:H13 H26:H46" xr:uid="{10CE59D3-8529-F84F-9156-166BDF64F508}">
      <formula1>$K$10:$K$13</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1CA663639F1A446BC9C3C00FA6EABA8" ma:contentTypeVersion="16" ma:contentTypeDescription="新しいドキュメントを作成します。" ma:contentTypeScope="" ma:versionID="c032dde3baeecbc418244410eaef224c">
  <xsd:schema xmlns:xsd="http://www.w3.org/2001/XMLSchema" xmlns:xs="http://www.w3.org/2001/XMLSchema" xmlns:p="http://schemas.microsoft.com/office/2006/metadata/properties" xmlns:ns2="41acfb21-b853-40e8-be3a-7ff0cc940149" xmlns:ns3="d5e76c4b-48f8-4b38-b911-c25e595220b3" targetNamespace="http://schemas.microsoft.com/office/2006/metadata/properties" ma:root="true" ma:fieldsID="6624a252243defbf9a8efafb58d8a5c3" ns2:_="" ns3:_="">
    <xsd:import namespace="41acfb21-b853-40e8-be3a-7ff0cc940149"/>
    <xsd:import namespace="d5e76c4b-48f8-4b38-b911-c25e595220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acfb21-b853-40e8-be3a-7ff0cc9401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e76c4b-48f8-4b38-b911-c25e595220b3"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c90a7c63-f8ed-47b0-8302-e537cf702e38}" ma:internalName="TaxCatchAll" ma:showField="CatchAllData" ma:web="d5e76c4b-48f8-4b38-b911-c25e595220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D8BB04-347A-48B4-912D-9CA232F570E8}">
  <ds:schemaRefs>
    <ds:schemaRef ds:uri="http://schemas.microsoft.com/office/2006/metadata/longProperties"/>
  </ds:schemaRefs>
</ds:datastoreItem>
</file>

<file path=customXml/itemProps2.xml><?xml version="1.0" encoding="utf-8"?>
<ds:datastoreItem xmlns:ds="http://schemas.openxmlformats.org/officeDocument/2006/customXml" ds:itemID="{FFF6EA54-A258-426B-8AED-351E99311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acfb21-b853-40e8-be3a-7ff0cc940149"/>
    <ds:schemaRef ds:uri="d5e76c4b-48f8-4b38-b911-c25e595220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A6BBB8-8701-4C03-AC95-7ACD8819DC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20</vt:i4>
      </vt:variant>
    </vt:vector>
  </HeadingPairs>
  <TitlesOfParts>
    <vt:vector size="20" baseType="lpstr">
      <vt:lpstr>修正履歴</vt:lpstr>
      <vt:lpstr>設計書チェックシート</vt:lpstr>
      <vt:lpstr>実装チェックシート</vt:lpstr>
      <vt:lpstr>UT仕様書チェックシート</vt:lpstr>
      <vt:lpstr>UT仕様書チェックシート（稟議）</vt:lpstr>
      <vt:lpstr>UT仕様書チェックシート（顧情）</vt:lpstr>
      <vt:lpstr>UT仕様書チェックリスト(.Net3.5_UI対応)</vt:lpstr>
      <vt:lpstr>UT仕様書【参考】</vt:lpstr>
      <vt:lpstr>セル保護確認方法【参考】</vt:lpstr>
      <vt:lpstr>UT実施</vt:lpstr>
      <vt:lpstr>UT結果(エビデンス作成)チェックリスト</vt:lpstr>
      <vt:lpstr>UT結果(エビデンス作成)【参考】</vt:lpstr>
      <vt:lpstr>成果物作成チェックシート</vt:lpstr>
      <vt:lpstr>ITAチェックシート</vt:lpstr>
      <vt:lpstr>ITBチェックシート</vt:lpstr>
      <vt:lpstr>受入チェックシート</vt:lpstr>
      <vt:lpstr>調査チェックシート</vt:lpstr>
      <vt:lpstr>三島統合DB調査用</vt:lpstr>
      <vt:lpstr>クライアントバージョンアップチェックシート</vt:lpstr>
      <vt:lpstr>Sheet1</vt:lpstr>
    </vt:vector>
  </TitlesOfParts>
  <Manager/>
  <Company>(株)電通国際情報サービス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行天仁</dc:creator>
  <cp:keywords/>
  <dc:description/>
  <cp:lastModifiedBy>MYSOFT劉恩陽</cp:lastModifiedBy>
  <cp:revision/>
  <dcterms:created xsi:type="dcterms:W3CDTF">2014-07-22T13:26:29Z</dcterms:created>
  <dcterms:modified xsi:type="dcterms:W3CDTF">2026-03-31T07:30:55Z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河村 優太 Yuta Kawamura</vt:lpwstr>
  </property>
  <property fmtid="{D5CDD505-2E9C-101B-9397-08002B2CF9AE}" pid="4" name="Order">
    <vt:lpwstr>367200.000000000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河村 優太 Yuta Kawamura</vt:lpwstr>
  </property>
  <property fmtid="{D5CDD505-2E9C-101B-9397-08002B2CF9AE}" pid="8" name="ComplianceAssetId">
    <vt:lpwstr/>
  </property>
  <property fmtid="{D5CDD505-2E9C-101B-9397-08002B2CF9AE}" pid="9" name="TemplateUrl">
    <vt:lpwstr/>
  </property>
  <property fmtid="{D5CDD505-2E9C-101B-9397-08002B2CF9AE}" pid="10" name="TriggerFlowInfo">
    <vt:lpwstr/>
  </property>
  <property fmtid="{D5CDD505-2E9C-101B-9397-08002B2CF9AE}" pid="11" name="ContentTypeId">
    <vt:lpwstr>0x01010071CA663639F1A446BC9C3C00FA6EABA8</vt:lpwstr>
  </property>
  <property fmtid="{D5CDD505-2E9C-101B-9397-08002B2CF9AE}" pid="12" name="TaxCatchAll">
    <vt:lpwstr/>
  </property>
</Properties>
</file>